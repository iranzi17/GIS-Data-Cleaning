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8_{EFC551D5-02CE-47B1-A2E4-F48E84A1FEA5}" xr6:coauthVersionLast="47" xr6:coauthVersionMax="47" xr10:uidLastSave="{00000000-0000-0000-0000-000000000000}"/>
  <bookViews>
    <workbookView xWindow="-120" yWindow="-120" windowWidth="29040" windowHeight="15720" tabRatio="791" activeTab="6" xr2:uid="{00000000-000D-0000-FFFF-FFFF00000000}"/>
  </bookViews>
  <sheets>
    <sheet name="STANDBY GEN" sheetId="25" r:id="rId1"/>
    <sheet name="110VDC BATTERY" sheetId="26" r:id="rId2"/>
    <sheet name="110VDC CHARGER" sheetId="27" r:id="rId3"/>
    <sheet name="48VDC BATTERY" sheetId="28" r:id="rId4"/>
    <sheet name="48VDC CHARGER" sheetId="29" r:id="rId5"/>
    <sheet name="UPS" sheetId="31" r:id="rId6"/>
    <sheet name="DIGITAL FAULT RECORDER" sheetId="38" r:id="rId7"/>
  </sheets>
  <definedNames>
    <definedName name="_xlnm.Database">#REF!</definedName>
    <definedName name="_xlnm.Print_Area" localSheetId="1">'110VDC BATTERY'!$A$1:$V$50</definedName>
    <definedName name="_xlnm.Print_Area" localSheetId="2">'110VDC CHARGER'!$A$1:$AG$50</definedName>
    <definedName name="_xlnm.Print_Area" localSheetId="3">'48VDC BATTERY'!$A$1:$X$50</definedName>
    <definedName name="_xlnm.Print_Area" localSheetId="4">'48VDC CHARGER'!$A$1:$Y$51</definedName>
    <definedName name="_xlnm.Print_Area" localSheetId="6">'DIGITAL FAULT RECORDER'!$A$1:$T$52</definedName>
    <definedName name="_xlnm.Print_Area" localSheetId="0">'STANDBY GEN'!$A$1:$AP$50</definedName>
    <definedName name="_xlnm.Print_Area" localSheetId="5">UPS!$A$1:$R$52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26" l="1"/>
  <c r="S18" i="26"/>
  <c r="N18" i="26"/>
  <c r="T40" i="26"/>
  <c r="S40" i="26"/>
  <c r="N40" i="26"/>
  <c r="M40" i="26"/>
</calcChain>
</file>

<file path=xl/sharedStrings.xml><?xml version="1.0" encoding="utf-8"?>
<sst xmlns="http://schemas.openxmlformats.org/spreadsheetml/2006/main" count="3249" uniqueCount="806">
  <si>
    <t>No</t>
  </si>
  <si>
    <t>Frequency (Hz)</t>
  </si>
  <si>
    <t>Type</t>
  </si>
  <si>
    <t>Manufacturer</t>
  </si>
  <si>
    <t>Rated Current (A)</t>
  </si>
  <si>
    <t xml:space="preserve">Insulation </t>
  </si>
  <si>
    <t>Rated Voltage (V)</t>
  </si>
  <si>
    <t xml:space="preserve">Type </t>
  </si>
  <si>
    <t>Standards</t>
  </si>
  <si>
    <t xml:space="preserve">Manufacturer </t>
  </si>
  <si>
    <t xml:space="preserve">Country of origin </t>
  </si>
  <si>
    <t xml:space="preserve">Standards </t>
  </si>
  <si>
    <t>Rated current (A)</t>
  </si>
  <si>
    <t>Total Weight (kg)</t>
  </si>
  <si>
    <t xml:space="preserve">Voltage regulation mode </t>
  </si>
  <si>
    <t>Brand and model of battery</t>
  </si>
  <si>
    <t xml:space="preserve">Battery type </t>
  </si>
  <si>
    <t>Battery capacity (Ah)</t>
  </si>
  <si>
    <t>Power (kW)</t>
  </si>
  <si>
    <t>Voltage (VDC)</t>
  </si>
  <si>
    <t xml:space="preserve">Method of starting </t>
  </si>
  <si>
    <t xml:space="preserve">Protection index </t>
  </si>
  <si>
    <t>Ambient temperature (oC)</t>
  </si>
  <si>
    <t>Lubrication oil consumption at rated generator load (L/ h)</t>
  </si>
  <si>
    <t xml:space="preserve">Noise level at full load  </t>
  </si>
  <si>
    <t>  (dB(A))</t>
  </si>
  <si>
    <t xml:space="preserve">Cooling system </t>
  </si>
  <si>
    <t>Capacity of fuel day-tank (Sufficient for full load continuous running period of 24 hours) (L)</t>
  </si>
  <si>
    <t xml:space="preserve">Speed regulation </t>
  </si>
  <si>
    <t xml:space="preserve">Applicable standard </t>
  </si>
  <si>
    <t>Speed (RPM)</t>
  </si>
  <si>
    <t xml:space="preserve">No of cylinder </t>
  </si>
  <si>
    <t xml:space="preserve">Compression ration </t>
  </si>
  <si>
    <t>Rated power (kVA/kW)</t>
  </si>
  <si>
    <t>Brand and Country of Origin (Governor)</t>
  </si>
  <si>
    <t xml:space="preserve">Governor </t>
  </si>
  <si>
    <t>Diesel Engine Model/type</t>
  </si>
  <si>
    <t xml:space="preserve">Fuel (diesel) level emission permissible </t>
  </si>
  <si>
    <t>Standby Generator</t>
  </si>
  <si>
    <t xml:space="preserve">Coupling of Engine/Alternator </t>
  </si>
  <si>
    <t xml:space="preserve">Power factor </t>
  </si>
  <si>
    <t>Rated volatge (V)</t>
  </si>
  <si>
    <t>Rated output power (kVA)</t>
  </si>
  <si>
    <t>Phases (3)</t>
  </si>
  <si>
    <t>Arrangement</t>
  </si>
  <si>
    <t>Type/Assembly</t>
  </si>
  <si>
    <t>Model/Ref</t>
  </si>
  <si>
    <t>Mode of Operation</t>
  </si>
  <si>
    <t>Country of origin</t>
  </si>
  <si>
    <t xml:space="preserve">Type of cooling </t>
  </si>
  <si>
    <t>DC Supply 110 VDC Battery</t>
  </si>
  <si>
    <t>Boost charge current (max) (A)</t>
  </si>
  <si>
    <t>Float charge current (A)</t>
  </si>
  <si>
    <t>Boost charging voltage (max.) (V/cell)</t>
  </si>
  <si>
    <t>Battery floating voltage (V)</t>
  </si>
  <si>
    <t>Number of cells (No)</t>
  </si>
  <si>
    <t>Minimum voltage per cell (V)</t>
  </si>
  <si>
    <t>Minimum voltage (V)</t>
  </si>
  <si>
    <t>Maximum voltage (V)</t>
  </si>
  <si>
    <t>One-minute rating current (A)</t>
  </si>
  <si>
    <t>Ten hours rating capacity (Ah)</t>
  </si>
  <si>
    <t>Model</t>
  </si>
  <si>
    <t xml:space="preserve">DC Supply 110 VDC Charger </t>
  </si>
  <si>
    <t xml:space="preserve">Model </t>
  </si>
  <si>
    <t xml:space="preserve">Type of operation </t>
  </si>
  <si>
    <t xml:space="preserve">Charger type </t>
  </si>
  <si>
    <t>Charging time (hrs)</t>
  </si>
  <si>
    <t>AC Input</t>
  </si>
  <si>
    <t>AC supply (V)</t>
  </si>
  <si>
    <t>Rated input power (kVA)</t>
  </si>
  <si>
    <t>Voltage variation (%)</t>
  </si>
  <si>
    <t>DC Output</t>
  </si>
  <si>
    <t xml:space="preserve">Type of charging </t>
  </si>
  <si>
    <t>Rated output voltage (V)</t>
  </si>
  <si>
    <t>Maximum DC Voltage (V)</t>
  </si>
  <si>
    <t>Constant voltage accuracy (%)</t>
  </si>
  <si>
    <t>Rated DC output current (A)</t>
  </si>
  <si>
    <t>Floating voltage regulation (%)</t>
  </si>
  <si>
    <t>Equalising voltage regulation (%)</t>
  </si>
  <si>
    <t>Minimum Insulation resistance (MΩ)</t>
  </si>
  <si>
    <t xml:space="preserve">Type of Cooling </t>
  </si>
  <si>
    <t xml:space="preserve">Altitude </t>
  </si>
  <si>
    <t>Total weight charger (kg)</t>
  </si>
  <si>
    <t xml:space="preserve">Degree of protection </t>
  </si>
  <si>
    <t>Short circuit strength (kA/sec)</t>
  </si>
  <si>
    <t xml:space="preserve">Busbar material </t>
  </si>
  <si>
    <t>Short circuit capacity of main breaker (kA)</t>
  </si>
  <si>
    <t xml:space="preserve">DC Supply 48 VDC charger </t>
  </si>
  <si>
    <t xml:space="preserve">Number of feeders </t>
  </si>
  <si>
    <t xml:space="preserve">DC Distribution Board </t>
  </si>
  <si>
    <t xml:space="preserve">Operating conditions </t>
  </si>
  <si>
    <t xml:space="preserve">DC Output </t>
  </si>
  <si>
    <t xml:space="preserve">AC Input </t>
  </si>
  <si>
    <t xml:space="preserve">DC Supply 48 VDC Battery </t>
  </si>
  <si>
    <t>Type of cooling (NA)</t>
  </si>
  <si>
    <t>Max. operating temperature (°C)</t>
  </si>
  <si>
    <t>Self discharge (at 25 °C) (%/week)</t>
  </si>
  <si>
    <t xml:space="preserve">Number of cells </t>
  </si>
  <si>
    <t xml:space="preserve">Minimum voltage per cell </t>
  </si>
  <si>
    <t>Total weight (kg)</t>
  </si>
  <si>
    <t>Uninterruptable power supply(UPS)</t>
  </si>
  <si>
    <t>Maximum power loss at rated load (W)</t>
  </si>
  <si>
    <t>Rated voltage, output (V)</t>
  </si>
  <si>
    <t>Rated DC voltage, input (V)</t>
  </si>
  <si>
    <t>Protection class of cubicle (IP)</t>
  </si>
  <si>
    <t>Active power (Minimum) (kW)</t>
  </si>
  <si>
    <t xml:space="preserve">Power supply </t>
  </si>
  <si>
    <t>Rated power at °C ambient temperature (Minimum) (kVA)</t>
  </si>
  <si>
    <t>Type/model</t>
  </si>
  <si>
    <t>Applicable standards</t>
  </si>
  <si>
    <t>Country</t>
  </si>
  <si>
    <t>Operating temperature (oC)</t>
  </si>
  <si>
    <t>Surge withstand capability</t>
  </si>
  <si>
    <t>Number of binary outputs</t>
  </si>
  <si>
    <t>Number of binary inputs</t>
  </si>
  <si>
    <t>Number of analog inputs</t>
  </si>
  <si>
    <t>Power consumption (VA)</t>
  </si>
  <si>
    <t>Nominal voltage (V dc)</t>
  </si>
  <si>
    <t>Nominal Input current (A)</t>
  </si>
  <si>
    <t>Digital Fault Recorder</t>
  </si>
  <si>
    <t>Substation Name </t>
  </si>
  <si>
    <t>Substation ID</t>
  </si>
  <si>
    <t>GIKONDO</t>
  </si>
  <si>
    <t>GKND-001</t>
  </si>
  <si>
    <t>JABANA 1</t>
  </si>
  <si>
    <t>JBNA-002</t>
  </si>
  <si>
    <t>JABANA 2</t>
  </si>
  <si>
    <t>JBNA-003</t>
  </si>
  <si>
    <t>MONT KIGALI</t>
  </si>
  <si>
    <t>MKGL-004</t>
  </si>
  <si>
    <t>GAHANGA</t>
  </si>
  <si>
    <t>GHNG-005</t>
  </si>
  <si>
    <t>BIREMBO</t>
  </si>
  <si>
    <t>BRMB-006</t>
  </si>
  <si>
    <t>SHANGO</t>
  </si>
  <si>
    <t>SNGO-007</t>
  </si>
  <si>
    <t>NDERA</t>
  </si>
  <si>
    <t>NDRA-008</t>
  </si>
  <si>
    <t>GASOGI</t>
  </si>
  <si>
    <t>GSGI-009</t>
  </si>
  <si>
    <t>MUSHA</t>
  </si>
  <si>
    <t>MSHA-010</t>
  </si>
  <si>
    <t>BUGESERA</t>
  </si>
  <si>
    <t>BGSR-011</t>
  </si>
  <si>
    <t>BUGESERA IP</t>
  </si>
  <si>
    <t>BGSR-012</t>
  </si>
  <si>
    <t>BUGESERA INTERNATIONAL AIRPORT 1</t>
  </si>
  <si>
    <t>BGSR-013</t>
  </si>
  <si>
    <t>BUGESERA INTERNATIONAL AIRPORT 2</t>
  </si>
  <si>
    <t>BGSR-014</t>
  </si>
  <si>
    <t>NZOVE</t>
  </si>
  <si>
    <t>NZVE-015</t>
  </si>
  <si>
    <t>KABARONDO</t>
  </si>
  <si>
    <t>KRND-016</t>
  </si>
  <si>
    <t>RWINKWAVU</t>
  </si>
  <si>
    <t>RKVU-017</t>
  </si>
  <si>
    <t>GABIRO</t>
  </si>
  <si>
    <t>GBRO-018</t>
  </si>
  <si>
    <t>RUSUMO</t>
  </si>
  <si>
    <t>RSMO-019</t>
  </si>
  <si>
    <t>KIREHE</t>
  </si>
  <si>
    <t>KRHE-020</t>
  </si>
  <si>
    <t>NYAGATARE</t>
  </si>
  <si>
    <t>NGTR-021</t>
  </si>
  <si>
    <t>GICUMBI</t>
  </si>
  <si>
    <t>GCMB-022</t>
  </si>
  <si>
    <t>RULINDO</t>
  </si>
  <si>
    <t>RLND-023</t>
  </si>
  <si>
    <t>GIFURWE</t>
  </si>
  <si>
    <t>GFRW-024</t>
  </si>
  <si>
    <t>MUKUNGWA</t>
  </si>
  <si>
    <t>MKGW-025</t>
  </si>
  <si>
    <t>NTARUKA</t>
  </si>
  <si>
    <t>NTRK-026</t>
  </si>
  <si>
    <t>NYABIHU</t>
  </si>
  <si>
    <t>NBHU-027</t>
  </si>
  <si>
    <t>RUBAVU</t>
  </si>
  <si>
    <t>RBVU-028</t>
  </si>
  <si>
    <t>SYMBION (SPLK)</t>
  </si>
  <si>
    <t>SPLK-029</t>
  </si>
  <si>
    <t>MUSANZE</t>
  </si>
  <si>
    <t>MSNZ-030</t>
  </si>
  <si>
    <t>KIGOMA</t>
  </si>
  <si>
    <t>KGMA-031</t>
  </si>
  <si>
    <t>NYABARONGO 1</t>
  </si>
  <si>
    <t>NBNG-032</t>
  </si>
  <si>
    <t>KILINDA</t>
  </si>
  <si>
    <t>KLNDA-033</t>
  </si>
  <si>
    <t>RUKARARA</t>
  </si>
  <si>
    <t>RKRA-034</t>
  </si>
  <si>
    <t>KARONGI</t>
  </si>
  <si>
    <t>KRNG-035</t>
  </si>
  <si>
    <t>KIBUYE</t>
  </si>
  <si>
    <t>KBYE-036</t>
  </si>
  <si>
    <t>BWISHYURA</t>
  </si>
  <si>
    <t>BSHR-037</t>
  </si>
  <si>
    <t>RWABUSORO</t>
  </si>
  <si>
    <t>RBSR-038</t>
  </si>
  <si>
    <t>GISAGARA</t>
  </si>
  <si>
    <t>GSGR-039</t>
  </si>
  <si>
    <t>HUYE</t>
  </si>
  <si>
    <t>HUYE-040</t>
  </si>
  <si>
    <t>MAMBA</t>
  </si>
  <si>
    <t>MMBA-041</t>
  </si>
  <si>
    <t>MUHANGA</t>
  </si>
  <si>
    <t>MHNG-042</t>
  </si>
  <si>
    <t>KIBOGORA</t>
  </si>
  <si>
    <t>KBGR-043</t>
  </si>
  <si>
    <t>NTENDEZI</t>
  </si>
  <si>
    <t>NTDZ-044</t>
  </si>
  <si>
    <t>BUGARAMA</t>
  </si>
  <si>
    <t>BGRA-045</t>
  </si>
  <si>
    <t>MURURU 1</t>
  </si>
  <si>
    <t>MRRU-046</t>
  </si>
  <si>
    <t>MURURU2</t>
  </si>
  <si>
    <t>MRRU-047</t>
  </si>
  <si>
    <t>GISHOMA</t>
  </si>
  <si>
    <t>GSMA-048</t>
  </si>
  <si>
    <t>Nr</t>
  </si>
  <si>
    <t>NE</t>
  </si>
  <si>
    <t>SAFT</t>
  </si>
  <si>
    <t>France</t>
  </si>
  <si>
    <t>BENNING</t>
  </si>
  <si>
    <t>AUSTRIA</t>
  </si>
  <si>
    <t>D400G104.4/80</t>
  </si>
  <si>
    <t>DIN41773</t>
  </si>
  <si>
    <r>
      <t>400V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10%</t>
    </r>
  </si>
  <si>
    <t>50Hz</t>
  </si>
  <si>
    <t>14.8kVA</t>
  </si>
  <si>
    <t>400V</t>
  </si>
  <si>
    <t>±10%</t>
  </si>
  <si>
    <t>110V-DC</t>
  </si>
  <si>
    <t>125V-DC</t>
  </si>
  <si>
    <t>80A</t>
  </si>
  <si>
    <t>100A</t>
  </si>
  <si>
    <t>±5%</t>
  </si>
  <si>
    <t>2000m</t>
  </si>
  <si>
    <t>IP20</t>
  </si>
  <si>
    <t>Convention Cooled</t>
  </si>
  <si>
    <t>1-3hrs</t>
  </si>
  <si>
    <t>Battery Charger ID</t>
  </si>
  <si>
    <t>BC-1-004</t>
  </si>
  <si>
    <t>BC-1-005</t>
  </si>
  <si>
    <t>BC-1-001</t>
  </si>
  <si>
    <t>BC-1-002</t>
  </si>
  <si>
    <t>BC-1-003</t>
  </si>
  <si>
    <t>110.4V-DC</t>
  </si>
  <si>
    <t>D400G48.0/80</t>
  </si>
  <si>
    <t>5.53kVA</t>
  </si>
  <si>
    <t>48V DC</t>
  </si>
  <si>
    <t>60A</t>
  </si>
  <si>
    <t>NA</t>
  </si>
  <si>
    <r>
      <t>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 to 40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</si>
  <si>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SBLE</t>
  </si>
  <si>
    <t>NiCd</t>
  </si>
  <si>
    <t>110V DC</t>
  </si>
  <si>
    <t>100Ah</t>
  </si>
  <si>
    <r>
      <t>110+</t>
    </r>
    <r>
      <rPr>
        <sz val="11"/>
        <color theme="1"/>
        <rFont val="Calibri"/>
        <family val="2"/>
      </rPr>
      <t>15%</t>
    </r>
  </si>
  <si>
    <r>
      <t>110-</t>
    </r>
    <r>
      <rPr>
        <sz val="11"/>
        <color theme="1"/>
        <rFont val="Calibri"/>
        <family val="2"/>
      </rPr>
      <t>15%</t>
    </r>
  </si>
  <si>
    <t>IEC 60439/60947</t>
  </si>
  <si>
    <t>130.6V</t>
  </si>
  <si>
    <t>1.47V/Cell</t>
  </si>
  <si>
    <t>6.2A</t>
  </si>
  <si>
    <r>
      <t>5M</t>
    </r>
    <r>
      <rPr>
        <sz val="11"/>
        <color theme="1"/>
        <rFont val="Aptos Narrow"/>
        <family val="2"/>
      </rPr>
      <t>Ώ</t>
    </r>
  </si>
  <si>
    <t>Natural</t>
  </si>
  <si>
    <t>1.02V/Cell</t>
  </si>
  <si>
    <t>200A</t>
  </si>
  <si>
    <t>60Ah</t>
  </si>
  <si>
    <t>120A</t>
  </si>
  <si>
    <r>
      <t>48V+</t>
    </r>
    <r>
      <rPr>
        <sz val="11"/>
        <color theme="1"/>
        <rFont val="Calibri"/>
        <family val="2"/>
      </rPr>
      <t>15%</t>
    </r>
  </si>
  <si>
    <r>
      <t>48V-</t>
    </r>
    <r>
      <rPr>
        <sz val="11"/>
        <color theme="1"/>
        <rFont val="Calibri"/>
        <family val="2"/>
      </rPr>
      <t>15%</t>
    </r>
  </si>
  <si>
    <t>53.9V</t>
  </si>
  <si>
    <t>5h</t>
  </si>
  <si>
    <t>SHIN-KOBE</t>
  </si>
  <si>
    <t>JAPAN</t>
  </si>
  <si>
    <t>Thyristor Controlle</t>
  </si>
  <si>
    <t xml:space="preserve">Thyristor Controlled </t>
  </si>
  <si>
    <t>10.5kVA</t>
  </si>
  <si>
    <t>127V - DC</t>
  </si>
  <si>
    <t>40A</t>
  </si>
  <si>
    <t>115V - DC</t>
  </si>
  <si>
    <t>Natural Cooling</t>
  </si>
  <si>
    <r>
      <t>-5</t>
    </r>
    <r>
      <rPr>
        <vertAlign val="super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C to +45</t>
    </r>
    <r>
      <rPr>
        <vertAlign val="super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C</t>
    </r>
  </si>
  <si>
    <t>JIS-C3307</t>
  </si>
  <si>
    <t>250Kg</t>
  </si>
  <si>
    <t>48V - DC</t>
  </si>
  <si>
    <t>Japan</t>
  </si>
  <si>
    <t>MSE-150</t>
  </si>
  <si>
    <t>JIS-C8704-2-1</t>
  </si>
  <si>
    <t>125V DC</t>
  </si>
  <si>
    <t>150Ah</t>
  </si>
  <si>
    <t>300A</t>
  </si>
  <si>
    <t>1.9V/Cell</t>
  </si>
  <si>
    <t>123V</t>
  </si>
  <si>
    <t>2.3V/Cell</t>
  </si>
  <si>
    <t>4A</t>
  </si>
  <si>
    <t>A0-34-48-40BD-ME</t>
  </si>
  <si>
    <t>110V DC Battery  ID</t>
  </si>
  <si>
    <t>48V DC Battery  ID</t>
  </si>
  <si>
    <t>BC-1-006</t>
  </si>
  <si>
    <t>BC-1-007</t>
  </si>
  <si>
    <t>BC-1-008</t>
  </si>
  <si>
    <t>BC-1-009</t>
  </si>
  <si>
    <t>BTY-1-001</t>
  </si>
  <si>
    <t>BTY-2-002</t>
  </si>
  <si>
    <t>BTY-1-002</t>
  </si>
  <si>
    <t>BTY-1-003</t>
  </si>
  <si>
    <t>BTY-1-004</t>
  </si>
  <si>
    <t>BTY-1-005</t>
  </si>
  <si>
    <t>BTY-1-006</t>
  </si>
  <si>
    <t>BTY-1-007</t>
  </si>
  <si>
    <t>BTY-1-008</t>
  </si>
  <si>
    <t>BTY-1-009</t>
  </si>
  <si>
    <t>BTY-2-001</t>
  </si>
  <si>
    <t>BTY-2-003</t>
  </si>
  <si>
    <t>BTY-2-004</t>
  </si>
  <si>
    <t>BTY-2-005</t>
  </si>
  <si>
    <t>BTY-2-006</t>
  </si>
  <si>
    <t>BTY-2-007</t>
  </si>
  <si>
    <t>BTY-2-008</t>
  </si>
  <si>
    <t>BTY-2-009</t>
  </si>
  <si>
    <t>BC-2-002</t>
  </si>
  <si>
    <t>UPS  ID</t>
  </si>
  <si>
    <t>AC/DC</t>
  </si>
  <si>
    <t>10kVA</t>
  </si>
  <si>
    <t>IP21</t>
  </si>
  <si>
    <t>230V-AC</t>
  </si>
  <si>
    <t>150Kg</t>
  </si>
  <si>
    <t>25A</t>
  </si>
  <si>
    <t>GENERAL ELECTRIC</t>
  </si>
  <si>
    <t>REASON DR60</t>
  </si>
  <si>
    <t>IEC61850</t>
  </si>
  <si>
    <t>1-5A</t>
  </si>
  <si>
    <t>100-110V AC</t>
  </si>
  <si>
    <t>150VA</t>
  </si>
  <si>
    <r>
      <t>-40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 to +75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</t>
    </r>
  </si>
  <si>
    <t>REASON DR61</t>
  </si>
  <si>
    <t>IEC61851</t>
  </si>
  <si>
    <t>REASON DR62</t>
  </si>
  <si>
    <t>IEC61852</t>
  </si>
  <si>
    <t>REASON DR63</t>
  </si>
  <si>
    <t>IEC61853</t>
  </si>
  <si>
    <t>REASON DR64</t>
  </si>
  <si>
    <t>IEC61854</t>
  </si>
  <si>
    <t>REASON DR65</t>
  </si>
  <si>
    <t>IEC61855</t>
  </si>
  <si>
    <t>REASON DR66</t>
  </si>
  <si>
    <t>IEC61856</t>
  </si>
  <si>
    <t>REASON DR67</t>
  </si>
  <si>
    <t>IEC61857</t>
  </si>
  <si>
    <t>REASON DR68</t>
  </si>
  <si>
    <t>IEC61858</t>
  </si>
  <si>
    <t>Digital Fault Recorder ID</t>
  </si>
  <si>
    <t>DFR-1-001</t>
  </si>
  <si>
    <t>DFR-1-002</t>
  </si>
  <si>
    <t>DFR-1-003</t>
  </si>
  <si>
    <t>DFR-1-004</t>
  </si>
  <si>
    <t>DFR-1-005</t>
  </si>
  <si>
    <t>DFR-1-006</t>
  </si>
  <si>
    <t>DFR-1-007</t>
  </si>
  <si>
    <t>DFR-1-008</t>
  </si>
  <si>
    <t>DFR-1-009</t>
  </si>
  <si>
    <t>BC-2-001</t>
  </si>
  <si>
    <t>BC-2-003</t>
  </si>
  <si>
    <t>BC-2-004</t>
  </si>
  <si>
    <t>BC-2-005</t>
  </si>
  <si>
    <t>BC-2-006</t>
  </si>
  <si>
    <t>BC-2-007</t>
  </si>
  <si>
    <t>BC-2-008</t>
  </si>
  <si>
    <t>BC-2-009</t>
  </si>
  <si>
    <t>UPS-1-001</t>
  </si>
  <si>
    <t>UPS-1-002</t>
  </si>
  <si>
    <t>UPS-1-003</t>
  </si>
  <si>
    <t>UPS-1-004</t>
  </si>
  <si>
    <t>UPS-1-005</t>
  </si>
  <si>
    <t>UPS-1-006</t>
  </si>
  <si>
    <t>UPS-1-007</t>
  </si>
  <si>
    <t>UPS-1-008</t>
  </si>
  <si>
    <t>UPS-1-009</t>
  </si>
  <si>
    <t>IEC 62109</t>
  </si>
  <si>
    <t>Standby Generator ID</t>
  </si>
  <si>
    <t>DGU-1-001</t>
  </si>
  <si>
    <t>DGU-1-002</t>
  </si>
  <si>
    <t>DGU-1-003</t>
  </si>
  <si>
    <t>DGU-1-004</t>
  </si>
  <si>
    <t>DGU-1-005</t>
  </si>
  <si>
    <t>DGU-1-006</t>
  </si>
  <si>
    <t>DGU-1-007</t>
  </si>
  <si>
    <t>DGU-1-008</t>
  </si>
  <si>
    <t>DGU-1-009</t>
  </si>
  <si>
    <t>Germany</t>
  </si>
  <si>
    <t>Profitec 2000 S 110V/100A</t>
  </si>
  <si>
    <t>Continuous operation</t>
  </si>
  <si>
    <t>DIN VDE 0558</t>
  </si>
  <si>
    <t>50Hz  ±5 %</t>
  </si>
  <si>
    <t>220V</t>
  </si>
  <si>
    <t>17.3KVA</t>
  </si>
  <si>
    <t>110 ±10 %</t>
  </si>
  <si>
    <t>110V</t>
  </si>
  <si>
    <t>Float/ Boost</t>
  </si>
  <si>
    <t>110VDC</t>
  </si>
  <si>
    <t>126VDC</t>
  </si>
  <si>
    <t>5A-100A (Ajustable)</t>
  </si>
  <si>
    <t>DIN 41 751</t>
  </si>
  <si>
    <t>Copper</t>
  </si>
  <si>
    <t xml:space="preserve">0 °C to + 40 °C </t>
  </si>
  <si>
    <t>AEG GmbH</t>
  </si>
  <si>
    <t>KM 185 P/N</t>
  </si>
  <si>
    <t>DIN 41772</t>
  </si>
  <si>
    <t>185AH</t>
  </si>
  <si>
    <t>110 ±10</t>
  </si>
  <si>
    <t>Profitec 2000 S 48V/60A</t>
  </si>
  <si>
    <t>Thyristor Controlled</t>
  </si>
  <si>
    <t>EDIT</t>
  </si>
  <si>
    <t>Turkey</t>
  </si>
  <si>
    <t>ERD-3P/110100</t>
  </si>
  <si>
    <t>180kG</t>
  </si>
  <si>
    <t>Dry</t>
  </si>
  <si>
    <t>A0-34-123-50BD-MJ</t>
  </si>
  <si>
    <t>A0-34-123-50BD-ME</t>
  </si>
  <si>
    <t>11kVA</t>
  </si>
  <si>
    <t>50A</t>
  </si>
  <si>
    <t>JIS</t>
  </si>
  <si>
    <t>120V</t>
  </si>
  <si>
    <t>200Kg</t>
  </si>
  <si>
    <t>HITACHI</t>
  </si>
  <si>
    <t>5kVA</t>
  </si>
  <si>
    <t>5hrs</t>
  </si>
  <si>
    <t>4kW</t>
  </si>
  <si>
    <t>8kW</t>
  </si>
  <si>
    <t>BTY-1-010</t>
  </si>
  <si>
    <t>BC-1-010</t>
  </si>
  <si>
    <t>BTY-2-010</t>
  </si>
  <si>
    <t>BC-2-010</t>
  </si>
  <si>
    <t>UPS-1-010</t>
  </si>
  <si>
    <t>DFR-1-010</t>
  </si>
  <si>
    <t>REASON DR69</t>
  </si>
  <si>
    <t>IEC61859</t>
  </si>
  <si>
    <t>DGU-1-010</t>
  </si>
  <si>
    <t>DGU-1-011</t>
  </si>
  <si>
    <t>DGU-1-012</t>
  </si>
  <si>
    <t>DGU-1-013</t>
  </si>
  <si>
    <t>DGU-1-014</t>
  </si>
  <si>
    <t>DGU-1-015</t>
  </si>
  <si>
    <t>DGU-1-016</t>
  </si>
  <si>
    <t>DGU-1-017</t>
  </si>
  <si>
    <t>BTY-1-017</t>
  </si>
  <si>
    <t>BC-1-017</t>
  </si>
  <si>
    <t>BC-2-011</t>
  </si>
  <si>
    <t>BC-2-012</t>
  </si>
  <si>
    <t>BC-2-013</t>
  </si>
  <si>
    <t>BC-2-014</t>
  </si>
  <si>
    <t>BC-2-015</t>
  </si>
  <si>
    <t>BC-2-016</t>
  </si>
  <si>
    <t>BC-2-017</t>
  </si>
  <si>
    <t>UPS-1-011</t>
  </si>
  <si>
    <t>UPS-1-012</t>
  </si>
  <si>
    <t>UPS-1-013</t>
  </si>
  <si>
    <t>UPS-1-014</t>
  </si>
  <si>
    <t>UPS-1-015</t>
  </si>
  <si>
    <t>UPS-1-016</t>
  </si>
  <si>
    <t>UPS-1-017</t>
  </si>
  <si>
    <t>DFR-1-011</t>
  </si>
  <si>
    <t>DFR-1-012</t>
  </si>
  <si>
    <t>DFR-1-013</t>
  </si>
  <si>
    <t>DFR-1-014</t>
  </si>
  <si>
    <t>DFR-1-015</t>
  </si>
  <si>
    <t>DFR-1-016</t>
  </si>
  <si>
    <t>DFR-1-017</t>
  </si>
  <si>
    <t>UPS-1-044</t>
  </si>
  <si>
    <t>DFR-1-044</t>
  </si>
  <si>
    <t>ITALY</t>
  </si>
  <si>
    <t>PRP</t>
  </si>
  <si>
    <t>GP220 S/I-N-A</t>
  </si>
  <si>
    <t>Generating set ISO 8528</t>
  </si>
  <si>
    <t>3-phase</t>
  </si>
  <si>
    <t>Direct coupled</t>
  </si>
  <si>
    <t>16.5 : 1</t>
  </si>
  <si>
    <t>200 / 160</t>
  </si>
  <si>
    <t>ISO 8528</t>
  </si>
  <si>
    <t>~500 L (24 h @ full load)</t>
  </si>
  <si>
    <t>Lead-acid</t>
  </si>
  <si>
    <t>Model Code 63572</t>
  </si>
  <si>
    <t>AVR</t>
  </si>
  <si>
    <t>500 L (24 h @ full load)</t>
  </si>
  <si>
    <t>GREEN POWER</t>
  </si>
  <si>
    <t>India</t>
  </si>
  <si>
    <t>Prime / Standby</t>
  </si>
  <si>
    <t>C66D5L</t>
  </si>
  <si>
    <t>Generating Set ISO 8528</t>
  </si>
  <si>
    <t>G2 SPEC-D</t>
  </si>
  <si>
    <t>ESP: 66.0 / PRP: 60.0</t>
  </si>
  <si>
    <t>95.3 (ESP) / 86.6 (PRP)</t>
  </si>
  <si>
    <t>ESP: 53.0 / PRP: 48.0</t>
  </si>
  <si>
    <t>DGU-1-018</t>
  </si>
  <si>
    <t>DGU-1-019</t>
  </si>
  <si>
    <t>DGU-1-020</t>
  </si>
  <si>
    <t>DGU-1-021</t>
  </si>
  <si>
    <t>DGU-1-022</t>
  </si>
  <si>
    <t>DGU-1-023</t>
  </si>
  <si>
    <t>DGU-1-024</t>
  </si>
  <si>
    <t>DGU-1-025</t>
  </si>
  <si>
    <t>DGU-1-026</t>
  </si>
  <si>
    <t>DGU-1-027</t>
  </si>
  <si>
    <t>DGU-1-028</t>
  </si>
  <si>
    <t>DGU-1-029</t>
  </si>
  <si>
    <t>DGU-1-030</t>
  </si>
  <si>
    <t>DGU-1-031</t>
  </si>
  <si>
    <t>DGU-1-032</t>
  </si>
  <si>
    <t>DGU-1-033</t>
  </si>
  <si>
    <t>DGU-1-034</t>
  </si>
  <si>
    <t>DGU-1-035</t>
  </si>
  <si>
    <t>DGU-1-036</t>
  </si>
  <si>
    <t>DGU-1-037</t>
  </si>
  <si>
    <t>DGU-1-038</t>
  </si>
  <si>
    <t>DGU-1-039</t>
  </si>
  <si>
    <t>DGU-1-040</t>
  </si>
  <si>
    <t>DGU-1-041</t>
  </si>
  <si>
    <t>DGU-1-042</t>
  </si>
  <si>
    <t>DGU-1-043</t>
  </si>
  <si>
    <t>DGU-1-044</t>
  </si>
  <si>
    <t>DGU-1-045</t>
  </si>
  <si>
    <t>DGU-1-046</t>
  </si>
  <si>
    <t>DGU-1-047</t>
  </si>
  <si>
    <t>DGU-1-048</t>
  </si>
  <si>
    <t>CUMMINS POWER GENERATION</t>
  </si>
  <si>
    <t>GP165 S/I-N-A</t>
  </si>
  <si>
    <t>Canopy type</t>
  </si>
  <si>
    <t>AKSA JENERATÖR SANAYİ A.Ş.</t>
  </si>
  <si>
    <t>China</t>
  </si>
  <si>
    <t>APD 66C</t>
  </si>
  <si>
    <t>Diesel Generator Set</t>
  </si>
  <si>
    <t>Soundproof</t>
  </si>
  <si>
    <t>60kvA</t>
  </si>
  <si>
    <t>400/230</t>
  </si>
  <si>
    <t>86.6 A / 95.3 A</t>
  </si>
  <si>
    <t>Flexible coupling</t>
  </si>
  <si>
    <t>As per ISO 8528-8</t>
  </si>
  <si>
    <t xml:space="preserve">Perkins </t>
  </si>
  <si>
    <t xml:space="preserve"> ISO 8528</t>
  </si>
  <si>
    <t xml:space="preserve">AEG </t>
  </si>
  <si>
    <t>SBM 208Ah C21</t>
  </si>
  <si>
    <t>IEC 60623</t>
  </si>
  <si>
    <r>
      <t>SBM 208Ah C</t>
    </r>
    <r>
      <rPr>
        <sz val="8"/>
        <color theme="1"/>
        <rFont val="Calibri"/>
        <family val="2"/>
        <scheme val="minor"/>
      </rPr>
      <t>5</t>
    </r>
  </si>
  <si>
    <t>BTY-1-011</t>
  </si>
  <si>
    <t>BTY-1-012</t>
  </si>
  <si>
    <t>BTY-1-013</t>
  </si>
  <si>
    <t>BTY-1-014</t>
  </si>
  <si>
    <t>BTY-1-015</t>
  </si>
  <si>
    <t>BTY-1-016</t>
  </si>
  <si>
    <t>BTY-1-018</t>
  </si>
  <si>
    <t>BTY-1-019</t>
  </si>
  <si>
    <t>BTY-1-020</t>
  </si>
  <si>
    <t>BTY-1-021</t>
  </si>
  <si>
    <t>BTY-1-022</t>
  </si>
  <si>
    <t>BTY-1-023</t>
  </si>
  <si>
    <t>BTY-1-024</t>
  </si>
  <si>
    <t>BTY-1-025</t>
  </si>
  <si>
    <t>BTY-1-026</t>
  </si>
  <si>
    <t>BTY-1-027</t>
  </si>
  <si>
    <t>BTY-1-028</t>
  </si>
  <si>
    <t>BTY-1-029</t>
  </si>
  <si>
    <t>BTY-1-030</t>
  </si>
  <si>
    <t>BTY-1-031</t>
  </si>
  <si>
    <t>BTY-1-032</t>
  </si>
  <si>
    <t>BTY-1-033</t>
  </si>
  <si>
    <t>BTY-1-034</t>
  </si>
  <si>
    <t>BTY-1-035</t>
  </si>
  <si>
    <t>BTY-1-036</t>
  </si>
  <si>
    <t>BTY-1-037</t>
  </si>
  <si>
    <t>BTY-1-038</t>
  </si>
  <si>
    <t>BTY-1-039</t>
  </si>
  <si>
    <t>BTY-1-040</t>
  </si>
  <si>
    <t>BTY-1-041</t>
  </si>
  <si>
    <t>BTY-1-042</t>
  </si>
  <si>
    <t>BTY-1-043</t>
  </si>
  <si>
    <t>BTY-1-044</t>
  </si>
  <si>
    <t>BTY-1-045</t>
  </si>
  <si>
    <t>BTY-1-046</t>
  </si>
  <si>
    <t>BTY-1-047</t>
  </si>
  <si>
    <t>BTY-1-048</t>
  </si>
  <si>
    <t>SAFT (NIFE)</t>
  </si>
  <si>
    <t>Sweden</t>
  </si>
  <si>
    <t>SBLE600-1</t>
  </si>
  <si>
    <t>KL600P (Ni-Cd)</t>
  </si>
  <si>
    <t>≈ 600 A</t>
  </si>
  <si>
    <t>—</t>
  </si>
  <si>
    <t xml:space="preserve">Natural air </t>
  </si>
  <si>
    <t>SBLE125-2</t>
  </si>
  <si>
    <t>KL125P (Ni-Cd)</t>
  </si>
  <si>
    <t>1.2 V (per cell)</t>
  </si>
  <si>
    <t>125 Ah</t>
  </si>
  <si>
    <t>1.55 V</t>
  </si>
  <si>
    <t>1.0 V</t>
  </si>
  <si>
    <t xml:space="preserve">Natural </t>
  </si>
  <si>
    <t>126V</t>
  </si>
  <si>
    <t>600Ah</t>
  </si>
  <si>
    <t>ALCAD</t>
  </si>
  <si>
    <t>European Union (EU)</t>
  </si>
  <si>
    <t>VTX 1L 235-4 (Vantex KGL235P / KL235P)</t>
  </si>
  <si>
    <t>1.2 V</t>
  </si>
  <si>
    <t>235 Ah</t>
  </si>
  <si>
    <t>1.65 V</t>
  </si>
  <si>
    <t>0.02 C (≈ 4.7 A)</t>
  </si>
  <si>
    <t>0.1 C (≈ 23.5 A)</t>
  </si>
  <si>
    <t>Natural air</t>
  </si>
  <si>
    <r>
      <t>IEC 62259</t>
    </r>
    <r>
      <rPr>
        <sz val="12"/>
        <color theme="1"/>
        <rFont val="Times New Roman"/>
        <family val="1"/>
      </rPr>
      <t>, IEC 60623</t>
    </r>
  </si>
  <si>
    <t>D 400 G 26/100 Bwrug-Vp</t>
  </si>
  <si>
    <t>0 °C to + 40 °C according to VDE
0160</t>
  </si>
  <si>
    <t xml:space="preserve">1000m above sea level </t>
  </si>
  <si>
    <t>AEG</t>
  </si>
  <si>
    <t>BC-1-011</t>
  </si>
  <si>
    <t>BC-1-012</t>
  </si>
  <si>
    <t>BC-1-013</t>
  </si>
  <si>
    <t>BC-1-014</t>
  </si>
  <si>
    <t>BC-1-015</t>
  </si>
  <si>
    <t>BC-1-016</t>
  </si>
  <si>
    <t>BC-1-018</t>
  </si>
  <si>
    <t>BC-1-019</t>
  </si>
  <si>
    <t>BC-1-020</t>
  </si>
  <si>
    <t>BC-1-021</t>
  </si>
  <si>
    <t>BC-1-022</t>
  </si>
  <si>
    <t>BC-1-023</t>
  </si>
  <si>
    <t>BC-1-024</t>
  </si>
  <si>
    <t>BC-1-025</t>
  </si>
  <si>
    <t>BC-1-026</t>
  </si>
  <si>
    <t>BC-1-027</t>
  </si>
  <si>
    <t>BC-1-028</t>
  </si>
  <si>
    <t>BC-1-029</t>
  </si>
  <si>
    <t>BC-1-030</t>
  </si>
  <si>
    <t>BC-1-031</t>
  </si>
  <si>
    <t>BC-1-032</t>
  </si>
  <si>
    <t>BC-1-033</t>
  </si>
  <si>
    <t>BC-1-034</t>
  </si>
  <si>
    <t>BC-1-035</t>
  </si>
  <si>
    <t>BC-1-036</t>
  </si>
  <si>
    <t>BC-1-037</t>
  </si>
  <si>
    <t>BC-1-038</t>
  </si>
  <si>
    <t>BC-1-039</t>
  </si>
  <si>
    <t>BC-1-040</t>
  </si>
  <si>
    <t>BC-1-041</t>
  </si>
  <si>
    <t>BC-1-042</t>
  </si>
  <si>
    <t>BC-1-043</t>
  </si>
  <si>
    <t>BC-1-044</t>
  </si>
  <si>
    <t>BC-1-045</t>
  </si>
  <si>
    <t>BC-1-046</t>
  </si>
  <si>
    <t>BC-1-047</t>
  </si>
  <si>
    <t>BC-1-048</t>
  </si>
  <si>
    <t>CR188-FP40R30 220 110C</t>
  </si>
  <si>
    <t>Float-cum-boost (Rectifier/Charger)</t>
  </si>
  <si>
    <t xml:space="preserve">IEC 61000-6-2, IEC 61000-6-4 </t>
  </si>
  <si>
    <t>400 V</t>
  </si>
  <si>
    <t>110 VDC, 80A / 104A</t>
  </si>
  <si>
    <t>Float / Boost (NiCd)</t>
  </si>
  <si>
    <t>110 V</t>
  </si>
  <si>
    <t xml:space="preserve">±1% </t>
  </si>
  <si>
    <t>46 -166</t>
  </si>
  <si>
    <t xml:space="preserve">0-40 °C </t>
  </si>
  <si>
    <t>≤ 1000 m</t>
  </si>
  <si>
    <t xml:space="preserve">IP21- IP55 </t>
  </si>
  <si>
    <t>Float-cum-boost</t>
  </si>
  <si>
    <t xml:space="preserve"> Rectifier/Charger</t>
  </si>
  <si>
    <t>EMERSON NETWORK S.A</t>
  </si>
  <si>
    <t>FP40RM1I-1286892</t>
  </si>
  <si>
    <t>Rectifier/Charger</t>
  </si>
  <si>
    <t>18.5 kVA</t>
  </si>
  <si>
    <t>80- 104</t>
  </si>
  <si>
    <t>80A -104 A</t>
  </si>
  <si>
    <t>HBL</t>
  </si>
  <si>
    <t>Nickel Cadmium(Alkaline Ni–Cd)</t>
  </si>
  <si>
    <t>1.40 – 1.45 V/cell</t>
  </si>
  <si>
    <t>1.2V/cell</t>
  </si>
  <si>
    <t>80 Ah</t>
  </si>
  <si>
    <t>8–10 × C (≈ 640–800 A)</t>
  </si>
  <si>
    <t>1.55V/cell</t>
  </si>
  <si>
    <t>1.0 V/cell</t>
  </si>
  <si>
    <t>(1.40 – 1.45 V) × number of cells</t>
  </si>
  <si>
    <t>1.55 – 1.65</t>
  </si>
  <si>
    <t>0.01 × C (≈ 0.8 A)</t>
  </si>
  <si>
    <t>0.1 × C (≈ 8 A)</t>
  </si>
  <si>
    <t>1 – 2%</t>
  </si>
  <si>
    <t xml:space="preserve">45°C up to 50°C </t>
  </si>
  <si>
    <t>Natural air (NA)</t>
  </si>
  <si>
    <t>8–12 hrs</t>
  </si>
  <si>
    <t>BTY-2-011</t>
  </si>
  <si>
    <t>BTY-2-012</t>
  </si>
  <si>
    <t>BTY-2-013</t>
  </si>
  <si>
    <t>BTY-2-014</t>
  </si>
  <si>
    <t>BTY-2-015</t>
  </si>
  <si>
    <t>BTY-2-016</t>
  </si>
  <si>
    <t>BTY-2-017</t>
  </si>
  <si>
    <t>BTY-2-018</t>
  </si>
  <si>
    <t>BTY-2-019</t>
  </si>
  <si>
    <t>BTY-2-020</t>
  </si>
  <si>
    <t>BTY-2-021</t>
  </si>
  <si>
    <t>BTY-2-022</t>
  </si>
  <si>
    <t>BTY-2-023</t>
  </si>
  <si>
    <t>BTY-2-024</t>
  </si>
  <si>
    <t>BTY-2-025</t>
  </si>
  <si>
    <t>BTY-2-026</t>
  </si>
  <si>
    <t>BTY-2-027</t>
  </si>
  <si>
    <t>BTY-2-028</t>
  </si>
  <si>
    <t>BTY-2-029</t>
  </si>
  <si>
    <t>BTY-2-030</t>
  </si>
  <si>
    <t>BTY-2-031</t>
  </si>
  <si>
    <t>BTY-2-032</t>
  </si>
  <si>
    <t>BTY-2-033</t>
  </si>
  <si>
    <t>BTY-2-034</t>
  </si>
  <si>
    <t>BTY-2-035</t>
  </si>
  <si>
    <t>BTY-2-036</t>
  </si>
  <si>
    <t>BTY-2-037</t>
  </si>
  <si>
    <t>BTY-2-038</t>
  </si>
  <si>
    <t>BTY-2-039</t>
  </si>
  <si>
    <t>BTY-2-040</t>
  </si>
  <si>
    <t>BTY-2-041</t>
  </si>
  <si>
    <t>BTY-2-042</t>
  </si>
  <si>
    <t>BTY-2-043</t>
  </si>
  <si>
    <t>BTY-2-044</t>
  </si>
  <si>
    <t>BTY-2-045</t>
  </si>
  <si>
    <t>BTY-2-046</t>
  </si>
  <si>
    <t>BTY-2-047</t>
  </si>
  <si>
    <t>BTY-2-048</t>
  </si>
  <si>
    <t>FNC 66 L (KL 66 P)</t>
  </si>
  <si>
    <t>1.40 – 1.45V/cell</t>
  </si>
  <si>
    <t>≈ 30 A</t>
  </si>
  <si>
    <t>1.60 V</t>
  </si>
  <si>
    <t>1.00 V</t>
  </si>
  <si>
    <t>1.40 –1.45/cell</t>
  </si>
  <si>
    <t>1.55 – 1.60 V per cell</t>
  </si>
  <si>
    <t>0.02 × C₁₀ ≈ 0.26 A</t>
  </si>
  <si>
    <t>0.1 × C₁₀ ≈ 1.3 A</t>
  </si>
  <si>
    <t>1–2 %</t>
  </si>
  <si>
    <t>–40 to +60 °C</t>
  </si>
  <si>
    <t>Natural Air (NA)</t>
  </si>
  <si>
    <t>7–8 hrs (to 90 %)</t>
  </si>
  <si>
    <t>HOPPECKE</t>
  </si>
  <si>
    <t>1.40 – 1.45 V per cell</t>
  </si>
  <si>
    <t>13.2 Ah</t>
  </si>
  <si>
    <t>DFR-1-018</t>
  </si>
  <si>
    <t>DFR-1-019</t>
  </si>
  <si>
    <t>DFR-1-020</t>
  </si>
  <si>
    <t>DFR-1-021</t>
  </si>
  <si>
    <t>DFR-1-022</t>
  </si>
  <si>
    <t>DFR-1-023</t>
  </si>
  <si>
    <t>DFR-1-024</t>
  </si>
  <si>
    <t>DFR-1-025</t>
  </si>
  <si>
    <t>DFR-1-026</t>
  </si>
  <si>
    <t>DFR-1-027</t>
  </si>
  <si>
    <t>DFR-1-028</t>
  </si>
  <si>
    <t>DFR-1-029</t>
  </si>
  <si>
    <t>DFR-1-030</t>
  </si>
  <si>
    <t>DFR-1-031</t>
  </si>
  <si>
    <t>DFR-1-032</t>
  </si>
  <si>
    <t>DFR-1-033</t>
  </si>
  <si>
    <t>DFR-1-034</t>
  </si>
  <si>
    <t>DFR-1-035</t>
  </si>
  <si>
    <t>DFR-1-036</t>
  </si>
  <si>
    <t>DFR-1-037</t>
  </si>
  <si>
    <t>DFR-1-038</t>
  </si>
  <si>
    <t>DFR-1-039</t>
  </si>
  <si>
    <t>DFR-1-040</t>
  </si>
  <si>
    <t>DFR-1-041</t>
  </si>
  <si>
    <t>DFR-1-042</t>
  </si>
  <si>
    <t>DFR-1-043</t>
  </si>
  <si>
    <t>DFR-1-045</t>
  </si>
  <si>
    <t>DFR-1-046</t>
  </si>
  <si>
    <t>DFR-1-047</t>
  </si>
  <si>
    <t>DFR-1-048</t>
  </si>
  <si>
    <t>KM300P</t>
  </si>
  <si>
    <t>EFAPOWER</t>
  </si>
  <si>
    <t>Portugal</t>
  </si>
  <si>
    <t>CIBS 110/ 8*20A</t>
  </si>
  <si>
    <t>Continuous</t>
  </si>
  <si>
    <t xml:space="preserve"> ±10 %</t>
  </si>
  <si>
    <t>5-100</t>
  </si>
  <si>
    <t>0°C  to  +40°C</t>
  </si>
  <si>
    <t>KM300P NiCd</t>
  </si>
  <si>
    <t>IEC 60622</t>
  </si>
  <si>
    <t>8.6KVA</t>
  </si>
  <si>
    <t>BC-2-038</t>
  </si>
  <si>
    <t>CIBS 48/ 8*20A</t>
  </si>
  <si>
    <t>NOT EXISTING</t>
  </si>
  <si>
    <t>KL66P</t>
  </si>
  <si>
    <t>CSB ENERGY TECHNOLOGY CO.Ltd</t>
  </si>
  <si>
    <t>12V/cell</t>
  </si>
  <si>
    <t>48V</t>
  </si>
  <si>
    <t>9.6V</t>
  </si>
  <si>
    <t>38.4V</t>
  </si>
  <si>
    <t>57.6V</t>
  </si>
  <si>
    <t>16V</t>
  </si>
  <si>
    <t>KPM160</t>
  </si>
  <si>
    <t>MAHA MAI ENGINEERS</t>
  </si>
  <si>
    <t>MAX POWER</t>
  </si>
  <si>
    <t>230V</t>
  </si>
  <si>
    <t>20A (Ajustable)</t>
  </si>
  <si>
    <t>VRLA BATTERY</t>
  </si>
  <si>
    <t>UPST.12V.165Ah</t>
  </si>
  <si>
    <t>DIN VDE 0559</t>
  </si>
  <si>
    <r>
      <t>230V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10%</t>
    </r>
  </si>
  <si>
    <t>1.2kVA</t>
  </si>
  <si>
    <t>24V DC</t>
  </si>
  <si>
    <t>CHANGHONG</t>
  </si>
  <si>
    <t>FNC 90L (KL 90P)</t>
  </si>
  <si>
    <t>Natural air cooling</t>
  </si>
  <si>
    <t>AEG power supply systems GmbH</t>
  </si>
  <si>
    <t>0 °C to + 40 °C according to VDE 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</si>
</sst>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2"/>
      <color rgb="FF24242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000000"/>
      <name val="Calibri"/>
      <family val="2"/>
      <scheme val="minor"/>
    </font>
    <font>
      <b/>
      <sz val="18"/>
      <color rgb="FF242424"/>
      <name val="Calibri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8">
    <xf numFmtId="0" fontId="0" fillId="0" borderId="0" xfId="0"/>
    <xf numFmtId="0" fontId="21" fillId="0" borderId="10" xfId="0" applyFont="1" applyBorder="1"/>
    <xf numFmtId="0" fontId="22" fillId="0" borderId="11" xfId="0" applyFont="1" applyBorder="1"/>
    <xf numFmtId="0" fontId="0" fillId="0" borderId="0" xfId="0" applyAlignment="1">
      <alignment textRotation="90" wrapText="1"/>
    </xf>
    <xf numFmtId="0" fontId="0" fillId="34" borderId="12" xfId="0" applyFill="1" applyBorder="1"/>
    <xf numFmtId="0" fontId="0" fillId="34" borderId="13" xfId="0" applyFill="1" applyBorder="1"/>
    <xf numFmtId="0" fontId="14" fillId="34" borderId="13" xfId="0" applyFont="1" applyFill="1" applyBorder="1"/>
    <xf numFmtId="0" fontId="0" fillId="0" borderId="13" xfId="0" applyBorder="1"/>
    <xf numFmtId="0" fontId="14" fillId="0" borderId="13" xfId="0" applyFont="1" applyBorder="1"/>
    <xf numFmtId="0" fontId="0" fillId="0" borderId="14" xfId="0" applyBorder="1"/>
    <xf numFmtId="0" fontId="18" fillId="33" borderId="16" xfId="0" applyFont="1" applyFill="1" applyBorder="1"/>
    <xf numFmtId="0" fontId="18" fillId="33" borderId="16" xfId="0" applyFont="1" applyFill="1" applyBorder="1" applyAlignment="1">
      <alignment horizontal="center" textRotation="90" wrapText="1"/>
    </xf>
    <xf numFmtId="0" fontId="20" fillId="33" borderId="16" xfId="0" applyFont="1" applyFill="1" applyBorder="1" applyAlignment="1">
      <alignment horizontal="center" textRotation="90" wrapText="1"/>
    </xf>
    <xf numFmtId="0" fontId="0" fillId="0" borderId="16" xfId="0" applyBorder="1"/>
    <xf numFmtId="0" fontId="18" fillId="33" borderId="15" xfId="0" applyFont="1" applyFill="1" applyBorder="1" applyAlignment="1">
      <alignment horizontal="center" textRotation="90" wrapText="1"/>
    </xf>
    <xf numFmtId="0" fontId="18" fillId="33" borderId="15" xfId="0" applyFont="1" applyFill="1" applyBorder="1"/>
    <xf numFmtId="0" fontId="20" fillId="33" borderId="15" xfId="0" applyFont="1" applyFill="1" applyBorder="1" applyAlignment="1">
      <alignment horizontal="center" textRotation="90" wrapText="1"/>
    </xf>
    <xf numFmtId="0" fontId="0" fillId="35" borderId="13" xfId="0" applyFill="1" applyBorder="1"/>
    <xf numFmtId="0" fontId="0" fillId="0" borderId="18" xfId="0" applyBorder="1"/>
    <xf numFmtId="10" fontId="0" fillId="35" borderId="13" xfId="0" applyNumberFormat="1" applyFill="1" applyBorder="1"/>
    <xf numFmtId="0" fontId="0" fillId="35" borderId="18" xfId="0" applyFill="1" applyBorder="1"/>
    <xf numFmtId="0" fontId="0" fillId="0" borderId="19" xfId="0" applyBorder="1"/>
    <xf numFmtId="0" fontId="16" fillId="33" borderId="15" xfId="0" applyFont="1" applyFill="1" applyBorder="1"/>
    <xf numFmtId="0" fontId="18" fillId="33" borderId="15" xfId="0" applyFont="1" applyFill="1" applyBorder="1" applyAlignment="1">
      <alignment textRotation="90" wrapText="1"/>
    </xf>
    <xf numFmtId="0" fontId="16" fillId="33" borderId="15" xfId="0" applyFont="1" applyFill="1" applyBorder="1" applyAlignment="1">
      <alignment textRotation="90" wrapText="1"/>
    </xf>
    <xf numFmtId="0" fontId="16" fillId="33" borderId="15" xfId="0" applyFont="1" applyFill="1" applyBorder="1" applyAlignment="1">
      <alignment horizontal="center" textRotation="90" wrapText="1"/>
    </xf>
    <xf numFmtId="0" fontId="32" fillId="33" borderId="15" xfId="0" applyFont="1" applyFill="1" applyBorder="1" applyAlignment="1">
      <alignment horizontal="center" textRotation="90" wrapText="1"/>
    </xf>
    <xf numFmtId="0" fontId="16" fillId="0" borderId="0" xfId="0" applyFont="1"/>
    <xf numFmtId="0" fontId="20" fillId="33" borderId="15" xfId="0" applyFont="1" applyFill="1" applyBorder="1" applyAlignment="1">
      <alignment textRotation="90" wrapText="1"/>
    </xf>
    <xf numFmtId="0" fontId="20" fillId="33" borderId="17" xfId="0" applyFont="1" applyFill="1" applyBorder="1" applyAlignment="1">
      <alignment textRotation="90" wrapText="1"/>
    </xf>
    <xf numFmtId="0" fontId="30" fillId="35" borderId="0" xfId="0" applyFont="1" applyFill="1"/>
    <xf numFmtId="0" fontId="0" fillId="35" borderId="12" xfId="0" applyFill="1" applyBorder="1"/>
    <xf numFmtId="0" fontId="0" fillId="35" borderId="16" xfId="0" applyFill="1" applyBorder="1"/>
    <xf numFmtId="0" fontId="0" fillId="35" borderId="22" xfId="0" applyFill="1" applyBorder="1"/>
    <xf numFmtId="0" fontId="14" fillId="35" borderId="13" xfId="0" applyFont="1" applyFill="1" applyBorder="1"/>
    <xf numFmtId="0" fontId="19" fillId="35" borderId="13" xfId="0" applyFont="1" applyFill="1" applyBorder="1"/>
    <xf numFmtId="0" fontId="30" fillId="35" borderId="13" xfId="0" applyFont="1" applyFill="1" applyBorder="1"/>
    <xf numFmtId="0" fontId="0" fillId="0" borderId="0" xfId="0" applyAlignment="1">
      <alignment vertical="center" wrapText="1"/>
    </xf>
    <xf numFmtId="0" fontId="0" fillId="35" borderId="12" xfId="0" applyFill="1" applyBorder="1" applyAlignment="1">
      <alignment vertical="center"/>
    </xf>
    <xf numFmtId="0" fontId="0" fillId="0" borderId="26" xfId="0" applyBorder="1" applyAlignment="1">
      <alignment textRotation="90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5" borderId="12" xfId="0" applyFont="1" applyFill="1" applyBorder="1"/>
    <xf numFmtId="0" fontId="0" fillId="0" borderId="26" xfId="0" applyBorder="1" applyAlignment="1">
      <alignment horizontal="center" vertical="center" wrapText="1"/>
    </xf>
    <xf numFmtId="0" fontId="18" fillId="33" borderId="25" xfId="0" applyFont="1" applyFill="1" applyBorder="1" applyAlignment="1">
      <alignment textRotation="90" wrapText="1"/>
    </xf>
    <xf numFmtId="1" fontId="0" fillId="35" borderId="12" xfId="0" applyNumberFormat="1" applyFill="1" applyBorder="1"/>
    <xf numFmtId="1" fontId="0" fillId="35" borderId="13" xfId="0" applyNumberFormat="1" applyFill="1" applyBorder="1"/>
    <xf numFmtId="0" fontId="0" fillId="35" borderId="13" xfId="0" applyFill="1" applyBorder="1" applyAlignment="1">
      <alignment vertical="center"/>
    </xf>
    <xf numFmtId="0" fontId="0" fillId="33" borderId="13" xfId="0" applyFill="1" applyBorder="1"/>
    <xf numFmtId="0" fontId="0" fillId="35" borderId="14" xfId="0" applyFill="1" applyBorder="1"/>
    <xf numFmtId="0" fontId="0" fillId="35" borderId="23" xfId="0" applyFill="1" applyBorder="1"/>
    <xf numFmtId="9" fontId="0" fillId="35" borderId="0" xfId="0" applyNumberFormat="1" applyFill="1"/>
    <xf numFmtId="9" fontId="0" fillId="35" borderId="13" xfId="0" applyNumberFormat="1" applyFill="1" applyBorder="1"/>
    <xf numFmtId="0" fontId="0" fillId="36" borderId="13" xfId="0" applyFill="1" applyBorder="1"/>
    <xf numFmtId="0" fontId="0" fillId="35" borderId="13" xfId="0" applyFill="1" applyBorder="1" applyAlignment="1">
      <alignment horizontal="left" vertical="center"/>
    </xf>
    <xf numFmtId="0" fontId="0" fillId="35" borderId="16" xfId="0" applyFill="1" applyBorder="1" applyAlignment="1">
      <alignment horizontal="left"/>
    </xf>
    <xf numFmtId="10" fontId="14" fillId="35" borderId="13" xfId="0" applyNumberFormat="1" applyFont="1" applyFill="1" applyBorder="1"/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0" fontId="14" fillId="33" borderId="13" xfId="0" applyFont="1" applyFill="1" applyBorder="1"/>
    <xf numFmtId="0" fontId="0" fillId="33" borderId="16" xfId="0" applyFill="1" applyBorder="1"/>
    <xf numFmtId="9" fontId="0" fillId="33" borderId="13" xfId="0" applyNumberFormat="1" applyFill="1" applyBorder="1"/>
    <xf numFmtId="0" fontId="0" fillId="0" borderId="22" xfId="0" applyBorder="1"/>
    <xf numFmtId="1" fontId="0" fillId="33" borderId="13" xfId="0" applyNumberFormat="1" applyFill="1" applyBorder="1"/>
    <xf numFmtId="0" fontId="19" fillId="33" borderId="13" xfId="0" applyFont="1" applyFill="1" applyBorder="1"/>
    <xf numFmtId="0" fontId="0" fillId="33" borderId="13" xfId="0" applyFill="1" applyBorder="1" applyAlignment="1">
      <alignment vertical="center"/>
    </xf>
    <xf numFmtId="0" fontId="0" fillId="33" borderId="27" xfId="0" applyFill="1" applyBorder="1"/>
    <xf numFmtId="0" fontId="0" fillId="0" borderId="28" xfId="0" applyBorder="1"/>
    <xf numFmtId="10" fontId="0" fillId="35" borderId="16" xfId="0" applyNumberFormat="1" applyFill="1" applyBorder="1"/>
    <xf numFmtId="0" fontId="0" fillId="35" borderId="29" xfId="0" applyFill="1" applyBorder="1"/>
    <xf numFmtId="0" fontId="0" fillId="33" borderId="30" xfId="0" applyFill="1" applyBorder="1" applyAlignment="1">
      <alignment vertical="center" wrapText="1"/>
    </xf>
    <xf numFmtId="0" fontId="0" fillId="33" borderId="30" xfId="0" applyFill="1" applyBorder="1" applyAlignment="1">
      <alignment horizontal="center" vertical="center" wrapText="1"/>
    </xf>
    <xf numFmtId="0" fontId="0" fillId="33" borderId="27" xfId="0" applyFill="1" applyBorder="1" applyAlignment="1">
      <alignment horizontal="center" vertical="center"/>
    </xf>
    <xf numFmtId="0" fontId="0" fillId="33" borderId="30" xfId="0" applyFill="1" applyBorder="1"/>
    <xf numFmtId="0" fontId="0" fillId="33" borderId="30" xfId="0" applyFill="1" applyBorder="1" applyAlignment="1">
      <alignment horizontal="center" vertical="center"/>
    </xf>
    <xf numFmtId="9" fontId="0" fillId="33" borderId="30" xfId="0" applyNumberFormat="1" applyFill="1" applyBorder="1" applyAlignment="1">
      <alignment horizontal="center" vertical="center"/>
    </xf>
    <xf numFmtId="1" fontId="0" fillId="33" borderId="30" xfId="0" applyNumberFormat="1" applyFill="1" applyBorder="1" applyAlignment="1">
      <alignment horizontal="center" vertical="center"/>
    </xf>
    <xf numFmtId="0" fontId="25" fillId="33" borderId="15" xfId="0" applyFont="1" applyFill="1" applyBorder="1" applyAlignment="1">
      <alignment horizontal="center"/>
    </xf>
    <xf numFmtId="0" fontId="26" fillId="33" borderId="17" xfId="0" applyFont="1" applyFill="1" applyBorder="1" applyAlignment="1">
      <alignment horizontal="center"/>
    </xf>
    <xf numFmtId="0" fontId="26" fillId="33" borderId="20" xfId="0" applyFont="1" applyFill="1" applyBorder="1" applyAlignment="1">
      <alignment horizontal="center"/>
    </xf>
    <xf numFmtId="0" fontId="26" fillId="33" borderId="21" xfId="0" applyFont="1" applyFill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33" fillId="33" borderId="17" xfId="0" applyFont="1" applyFill="1" applyBorder="1" applyAlignment="1">
      <alignment horizontal="center"/>
    </xf>
    <xf numFmtId="0" fontId="33" fillId="33" borderId="20" xfId="0" applyFont="1" applyFill="1" applyBorder="1" applyAlignment="1">
      <alignment horizontal="center"/>
    </xf>
    <xf numFmtId="0" fontId="33" fillId="33" borderId="21" xfId="0" applyFont="1" applyFill="1" applyBorder="1" applyAlignment="1">
      <alignment horizontal="center"/>
    </xf>
    <xf numFmtId="9" fontId="0" fillId="33" borderId="16" xfId="0" applyNumberFormat="1" applyFill="1" applyBorder="1"/>
    <xf numFmtId="0" fontId="0" fillId="36" borderId="31" xfId="0" applyFill="1" applyBorder="1"/>
    <xf numFmtId="9" fontId="0" fillId="36" borderId="3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AP51"/>
  <sheetViews>
    <sheetView topLeftCell="A27" zoomScaleNormal="100" workbookViewId="0">
      <selection activeCell="G45" sqref="G45"/>
    </sheetView>
  </sheetViews>
  <sheetFormatPr defaultColWidth="8.7109375" defaultRowHeight="15" x14ac:dyDescent="0.25"/>
  <cols>
    <col min="1" max="1" width="4.5703125" customWidth="1"/>
    <col min="2" max="2" width="35.5703125" customWidth="1"/>
    <col min="3" max="4" width="13" customWidth="1"/>
    <col min="5" max="5" width="30.7109375" customWidth="1"/>
    <col min="6" max="6" width="14.140625" customWidth="1"/>
    <col min="7" max="7" width="16.28515625" customWidth="1"/>
    <col min="8" max="8" width="14.140625" customWidth="1"/>
    <col min="9" max="9" width="14.5703125" customWidth="1"/>
    <col min="10" max="10" width="16" customWidth="1"/>
    <col min="11" max="11" width="15.42578125" customWidth="1"/>
    <col min="12" max="12" width="14.28515625" customWidth="1"/>
    <col min="13" max="13" width="15.140625" customWidth="1"/>
    <col min="14" max="14" width="14.7109375" customWidth="1"/>
    <col min="15" max="15" width="13.28515625" customWidth="1"/>
    <col min="16" max="16" width="14.85546875" customWidth="1"/>
    <col min="17" max="17" width="14.42578125" customWidth="1"/>
    <col min="18" max="18" width="15.28515625" customWidth="1"/>
    <col min="19" max="20" width="7.5703125" customWidth="1"/>
    <col min="21" max="21" width="10.140625" customWidth="1"/>
    <col min="22" max="24" width="7.5703125" customWidth="1"/>
    <col min="25" max="25" width="11.85546875" customWidth="1"/>
    <col min="26" max="26" width="7.5703125" customWidth="1"/>
    <col min="27" max="27" width="22.85546875" customWidth="1"/>
    <col min="28" max="37" width="7.5703125" customWidth="1"/>
    <col min="38" max="38" width="11" customWidth="1"/>
    <col min="39" max="39" width="17.85546875" customWidth="1"/>
    <col min="40" max="42" width="7.5703125" customWidth="1"/>
  </cols>
  <sheetData>
    <row r="1" spans="1:42" ht="22.5" customHeight="1" thickTop="1" thickBot="1" x14ac:dyDescent="0.4">
      <c r="A1" s="77" t="s">
        <v>38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ht="165.75" customHeight="1" thickTop="1" x14ac:dyDescent="0.25">
      <c r="A2" s="10" t="s">
        <v>218</v>
      </c>
      <c r="B2" s="11" t="s">
        <v>120</v>
      </c>
      <c r="C2" s="11" t="s">
        <v>121</v>
      </c>
      <c r="D2" s="11" t="s">
        <v>380</v>
      </c>
      <c r="E2" s="12" t="s">
        <v>3</v>
      </c>
      <c r="F2" s="12" t="s">
        <v>48</v>
      </c>
      <c r="G2" s="12" t="s">
        <v>47</v>
      </c>
      <c r="H2" s="12" t="s">
        <v>46</v>
      </c>
      <c r="I2" s="12" t="s">
        <v>45</v>
      </c>
      <c r="J2" s="12" t="s">
        <v>44</v>
      </c>
      <c r="K2" s="12" t="s">
        <v>43</v>
      </c>
      <c r="L2" s="12" t="s">
        <v>42</v>
      </c>
      <c r="M2" s="12" t="s">
        <v>41</v>
      </c>
      <c r="N2" s="12" t="s">
        <v>12</v>
      </c>
      <c r="O2" s="12" t="s">
        <v>40</v>
      </c>
      <c r="P2" s="12" t="s">
        <v>39</v>
      </c>
      <c r="Q2" s="12" t="s">
        <v>37</v>
      </c>
      <c r="R2" s="12" t="s">
        <v>36</v>
      </c>
      <c r="S2" s="12" t="s">
        <v>35</v>
      </c>
      <c r="T2" s="12" t="s">
        <v>34</v>
      </c>
      <c r="U2" s="12" t="s">
        <v>33</v>
      </c>
      <c r="V2" s="12" t="s">
        <v>32</v>
      </c>
      <c r="W2" s="12" t="s">
        <v>31</v>
      </c>
      <c r="X2" s="12" t="s">
        <v>30</v>
      </c>
      <c r="Y2" s="12" t="s">
        <v>29</v>
      </c>
      <c r="Z2" s="12" t="s">
        <v>28</v>
      </c>
      <c r="AA2" s="12" t="s">
        <v>27</v>
      </c>
      <c r="AB2" s="12" t="s">
        <v>26</v>
      </c>
      <c r="AC2" s="12" t="s">
        <v>25</v>
      </c>
      <c r="AD2" s="12" t="s">
        <v>24</v>
      </c>
      <c r="AE2" s="12" t="s">
        <v>23</v>
      </c>
      <c r="AF2" s="12" t="s">
        <v>22</v>
      </c>
      <c r="AG2" s="12" t="s">
        <v>21</v>
      </c>
      <c r="AH2" s="12" t="s">
        <v>20</v>
      </c>
      <c r="AI2" s="12" t="s">
        <v>19</v>
      </c>
      <c r="AJ2" s="12" t="s">
        <v>18</v>
      </c>
      <c r="AK2" s="12" t="s">
        <v>17</v>
      </c>
      <c r="AL2" s="12" t="s">
        <v>16</v>
      </c>
      <c r="AM2" s="12" t="s">
        <v>15</v>
      </c>
      <c r="AN2" s="12" t="s">
        <v>1</v>
      </c>
      <c r="AO2" s="12" t="s">
        <v>14</v>
      </c>
      <c r="AP2" s="12" t="s">
        <v>13</v>
      </c>
    </row>
    <row r="3" spans="1:42" ht="24.95" customHeight="1" x14ac:dyDescent="0.25">
      <c r="A3" s="34">
        <v>1</v>
      </c>
      <c r="B3" s="34" t="s">
        <v>122</v>
      </c>
      <c r="C3" s="34" t="s">
        <v>123</v>
      </c>
      <c r="D3" s="34" t="s">
        <v>381</v>
      </c>
      <c r="E3" s="54" t="s">
        <v>485</v>
      </c>
      <c r="F3" s="54" t="s">
        <v>471</v>
      </c>
      <c r="G3" s="54" t="s">
        <v>472</v>
      </c>
      <c r="H3" s="54" t="s">
        <v>473</v>
      </c>
      <c r="I3" s="54" t="s">
        <v>474</v>
      </c>
      <c r="J3" s="54" t="s">
        <v>475</v>
      </c>
      <c r="K3" s="54">
        <v>3</v>
      </c>
      <c r="L3" s="54">
        <v>250</v>
      </c>
      <c r="M3" s="54">
        <v>400</v>
      </c>
      <c r="N3" s="54">
        <v>289</v>
      </c>
      <c r="O3" s="54">
        <v>0.8</v>
      </c>
      <c r="P3" s="54" t="s">
        <v>476</v>
      </c>
      <c r="Q3" s="54" t="s">
        <v>477</v>
      </c>
      <c r="R3" s="54">
        <v>6</v>
      </c>
      <c r="S3" s="54"/>
      <c r="T3" s="54"/>
      <c r="U3" s="54" t="s">
        <v>478</v>
      </c>
      <c r="V3" s="54"/>
      <c r="W3" s="54"/>
      <c r="X3" s="54">
        <v>1500</v>
      </c>
      <c r="Y3" s="54" t="s">
        <v>479</v>
      </c>
      <c r="Z3" s="54"/>
      <c r="AA3" s="54" t="s">
        <v>484</v>
      </c>
      <c r="AB3" s="54"/>
      <c r="AC3" s="54">
        <v>96</v>
      </c>
      <c r="AD3" s="54">
        <v>96</v>
      </c>
      <c r="AE3" s="54"/>
      <c r="AF3" s="54"/>
      <c r="AG3" s="54"/>
      <c r="AH3" s="54"/>
      <c r="AI3" s="54">
        <v>24</v>
      </c>
      <c r="AJ3" s="54">
        <v>160</v>
      </c>
      <c r="AK3" s="54">
        <v>135</v>
      </c>
      <c r="AL3" s="54" t="s">
        <v>481</v>
      </c>
      <c r="AM3" s="54" t="s">
        <v>482</v>
      </c>
      <c r="AN3" s="54">
        <v>50</v>
      </c>
      <c r="AO3" s="54" t="s">
        <v>483</v>
      </c>
      <c r="AP3" s="54">
        <v>2110</v>
      </c>
    </row>
    <row r="4" spans="1:42" ht="24.95" customHeight="1" x14ac:dyDescent="0.25">
      <c r="A4" s="5">
        <v>2</v>
      </c>
      <c r="B4" s="5" t="s">
        <v>124</v>
      </c>
      <c r="C4" s="5" t="s">
        <v>125</v>
      </c>
      <c r="D4" s="6" t="s">
        <v>382</v>
      </c>
      <c r="E4" s="7" t="s">
        <v>219</v>
      </c>
      <c r="F4" s="7" t="s">
        <v>219</v>
      </c>
      <c r="G4" s="7" t="s">
        <v>219</v>
      </c>
      <c r="H4" s="7" t="s">
        <v>219</v>
      </c>
      <c r="I4" s="7" t="s">
        <v>219</v>
      </c>
      <c r="J4" s="7" t="s">
        <v>219</v>
      </c>
      <c r="K4" s="7" t="s">
        <v>219</v>
      </c>
      <c r="L4" s="7" t="s">
        <v>219</v>
      </c>
      <c r="M4" s="7" t="s">
        <v>219</v>
      </c>
      <c r="N4" s="7" t="s">
        <v>219</v>
      </c>
      <c r="O4" s="7" t="s">
        <v>219</v>
      </c>
      <c r="P4" s="7" t="s">
        <v>219</v>
      </c>
      <c r="Q4" s="7" t="s">
        <v>219</v>
      </c>
      <c r="R4" s="7" t="s">
        <v>219</v>
      </c>
      <c r="S4" s="7" t="s">
        <v>219</v>
      </c>
      <c r="T4" s="7" t="s">
        <v>219</v>
      </c>
      <c r="U4" s="7" t="s">
        <v>219</v>
      </c>
      <c r="V4" s="7" t="s">
        <v>219</v>
      </c>
      <c r="W4" s="7" t="s">
        <v>219</v>
      </c>
      <c r="X4" s="7" t="s">
        <v>219</v>
      </c>
      <c r="Y4" s="7" t="s">
        <v>219</v>
      </c>
      <c r="Z4" s="7" t="s">
        <v>219</v>
      </c>
      <c r="AA4" s="7" t="s">
        <v>219</v>
      </c>
      <c r="AB4" s="7" t="s">
        <v>219</v>
      </c>
      <c r="AC4" s="7" t="s">
        <v>219</v>
      </c>
      <c r="AD4" s="7" t="s">
        <v>219</v>
      </c>
      <c r="AE4" s="7" t="s">
        <v>219</v>
      </c>
      <c r="AF4" s="7" t="s">
        <v>219</v>
      </c>
      <c r="AG4" s="7" t="s">
        <v>219</v>
      </c>
      <c r="AH4" s="7" t="s">
        <v>219</v>
      </c>
      <c r="AI4" s="7" t="s">
        <v>219</v>
      </c>
      <c r="AJ4" s="7" t="s">
        <v>219</v>
      </c>
      <c r="AK4" s="7" t="s">
        <v>219</v>
      </c>
      <c r="AL4" s="7" t="s">
        <v>219</v>
      </c>
      <c r="AM4" s="7" t="s">
        <v>219</v>
      </c>
      <c r="AN4" s="7" t="s">
        <v>219</v>
      </c>
      <c r="AO4" s="7" t="s">
        <v>219</v>
      </c>
      <c r="AP4" s="7" t="s">
        <v>219</v>
      </c>
    </row>
    <row r="5" spans="1:42" ht="24.95" customHeight="1" x14ac:dyDescent="0.25">
      <c r="A5" s="5">
        <v>3</v>
      </c>
      <c r="B5" s="5" t="s">
        <v>126</v>
      </c>
      <c r="C5" s="5" t="s">
        <v>127</v>
      </c>
      <c r="D5" s="6" t="s">
        <v>383</v>
      </c>
      <c r="E5" s="7" t="s">
        <v>219</v>
      </c>
      <c r="F5" s="7" t="s">
        <v>219</v>
      </c>
      <c r="G5" s="7" t="s">
        <v>219</v>
      </c>
      <c r="H5" s="7" t="s">
        <v>219</v>
      </c>
      <c r="I5" s="7" t="s">
        <v>219</v>
      </c>
      <c r="J5" s="7" t="s">
        <v>219</v>
      </c>
      <c r="K5" s="7" t="s">
        <v>219</v>
      </c>
      <c r="L5" s="7" t="s">
        <v>219</v>
      </c>
      <c r="M5" s="7" t="s">
        <v>219</v>
      </c>
      <c r="N5" s="7" t="s">
        <v>219</v>
      </c>
      <c r="O5" s="7" t="s">
        <v>219</v>
      </c>
      <c r="P5" s="7" t="s">
        <v>219</v>
      </c>
      <c r="Q5" s="7" t="s">
        <v>219</v>
      </c>
      <c r="R5" s="7" t="s">
        <v>219</v>
      </c>
      <c r="S5" s="7" t="s">
        <v>219</v>
      </c>
      <c r="T5" s="7" t="s">
        <v>219</v>
      </c>
      <c r="U5" s="7" t="s">
        <v>219</v>
      </c>
      <c r="V5" s="7" t="s">
        <v>219</v>
      </c>
      <c r="W5" s="7" t="s">
        <v>219</v>
      </c>
      <c r="X5" s="7" t="s">
        <v>219</v>
      </c>
      <c r="Y5" s="7" t="s">
        <v>219</v>
      </c>
      <c r="Z5" s="7" t="s">
        <v>219</v>
      </c>
      <c r="AA5" s="7" t="s">
        <v>219</v>
      </c>
      <c r="AB5" s="7" t="s">
        <v>219</v>
      </c>
      <c r="AC5" s="7" t="s">
        <v>219</v>
      </c>
      <c r="AD5" s="7" t="s">
        <v>219</v>
      </c>
      <c r="AE5" s="7" t="s">
        <v>219</v>
      </c>
      <c r="AF5" s="7" t="s">
        <v>219</v>
      </c>
      <c r="AG5" s="7" t="s">
        <v>219</v>
      </c>
      <c r="AH5" s="7" t="s">
        <v>219</v>
      </c>
      <c r="AI5" s="7" t="s">
        <v>219</v>
      </c>
      <c r="AJ5" s="7" t="s">
        <v>219</v>
      </c>
      <c r="AK5" s="7" t="s">
        <v>219</v>
      </c>
      <c r="AL5" s="7" t="s">
        <v>219</v>
      </c>
      <c r="AM5" s="7" t="s">
        <v>219</v>
      </c>
      <c r="AN5" s="7" t="s">
        <v>219</v>
      </c>
      <c r="AO5" s="7" t="s">
        <v>219</v>
      </c>
      <c r="AP5" s="7" t="s">
        <v>219</v>
      </c>
    </row>
    <row r="6" spans="1:42" ht="24.95" customHeight="1" x14ac:dyDescent="0.25">
      <c r="A6" s="5">
        <v>4</v>
      </c>
      <c r="B6" s="5" t="s">
        <v>128</v>
      </c>
      <c r="C6" s="5" t="s">
        <v>129</v>
      </c>
      <c r="D6" s="6" t="s">
        <v>384</v>
      </c>
      <c r="E6" s="7" t="s">
        <v>219</v>
      </c>
      <c r="F6" s="7" t="s">
        <v>219</v>
      </c>
      <c r="G6" s="7" t="s">
        <v>219</v>
      </c>
      <c r="H6" s="7" t="s">
        <v>219</v>
      </c>
      <c r="I6" s="7" t="s">
        <v>219</v>
      </c>
      <c r="J6" s="7" t="s">
        <v>219</v>
      </c>
      <c r="K6" s="7" t="s">
        <v>219</v>
      </c>
      <c r="L6" s="7" t="s">
        <v>219</v>
      </c>
      <c r="M6" s="7" t="s">
        <v>219</v>
      </c>
      <c r="N6" s="7" t="s">
        <v>219</v>
      </c>
      <c r="O6" s="7" t="s">
        <v>219</v>
      </c>
      <c r="P6" s="7" t="s">
        <v>219</v>
      </c>
      <c r="Q6" s="7" t="s">
        <v>219</v>
      </c>
      <c r="R6" s="7" t="s">
        <v>219</v>
      </c>
      <c r="S6" s="7" t="s">
        <v>219</v>
      </c>
      <c r="T6" s="7" t="s">
        <v>219</v>
      </c>
      <c r="U6" s="7" t="s">
        <v>219</v>
      </c>
      <c r="V6" s="7" t="s">
        <v>219</v>
      </c>
      <c r="W6" s="7" t="s">
        <v>219</v>
      </c>
      <c r="X6" s="7" t="s">
        <v>219</v>
      </c>
      <c r="Y6" s="7" t="s">
        <v>219</v>
      </c>
      <c r="Z6" s="7" t="s">
        <v>219</v>
      </c>
      <c r="AA6" s="7" t="s">
        <v>219</v>
      </c>
      <c r="AB6" s="7" t="s">
        <v>219</v>
      </c>
      <c r="AC6" s="7" t="s">
        <v>219</v>
      </c>
      <c r="AD6" s="7" t="s">
        <v>219</v>
      </c>
      <c r="AE6" s="7" t="s">
        <v>219</v>
      </c>
      <c r="AF6" s="7" t="s">
        <v>219</v>
      </c>
      <c r="AG6" s="7" t="s">
        <v>219</v>
      </c>
      <c r="AH6" s="7" t="s">
        <v>219</v>
      </c>
      <c r="AI6" s="7" t="s">
        <v>219</v>
      </c>
      <c r="AJ6" s="7" t="s">
        <v>219</v>
      </c>
      <c r="AK6" s="7" t="s">
        <v>219</v>
      </c>
      <c r="AL6" s="7" t="s">
        <v>219</v>
      </c>
      <c r="AM6" s="7" t="s">
        <v>219</v>
      </c>
      <c r="AN6" s="7" t="s">
        <v>219</v>
      </c>
      <c r="AO6" s="7" t="s">
        <v>219</v>
      </c>
      <c r="AP6" s="7" t="s">
        <v>219</v>
      </c>
    </row>
    <row r="7" spans="1:42" ht="24.95" customHeight="1" x14ac:dyDescent="0.25">
      <c r="A7" s="5">
        <v>5</v>
      </c>
      <c r="B7" s="5" t="s">
        <v>130</v>
      </c>
      <c r="C7" s="5" t="s">
        <v>131</v>
      </c>
      <c r="D7" s="6" t="s">
        <v>385</v>
      </c>
      <c r="E7" s="7" t="s">
        <v>219</v>
      </c>
      <c r="F7" s="7" t="s">
        <v>219</v>
      </c>
      <c r="G7" s="7" t="s">
        <v>219</v>
      </c>
      <c r="H7" s="7" t="s">
        <v>219</v>
      </c>
      <c r="I7" s="7" t="s">
        <v>219</v>
      </c>
      <c r="J7" s="7" t="s">
        <v>219</v>
      </c>
      <c r="K7" s="7" t="s">
        <v>219</v>
      </c>
      <c r="L7" s="7" t="s">
        <v>219</v>
      </c>
      <c r="M7" s="7" t="s">
        <v>219</v>
      </c>
      <c r="N7" s="7" t="s">
        <v>219</v>
      </c>
      <c r="O7" s="7" t="s">
        <v>219</v>
      </c>
      <c r="P7" s="7" t="s">
        <v>219</v>
      </c>
      <c r="Q7" s="7" t="s">
        <v>219</v>
      </c>
      <c r="R7" s="7" t="s">
        <v>219</v>
      </c>
      <c r="S7" s="7" t="s">
        <v>219</v>
      </c>
      <c r="T7" s="7" t="s">
        <v>219</v>
      </c>
      <c r="U7" s="7" t="s">
        <v>219</v>
      </c>
      <c r="V7" s="7" t="s">
        <v>219</v>
      </c>
      <c r="W7" s="7" t="s">
        <v>219</v>
      </c>
      <c r="X7" s="7" t="s">
        <v>219</v>
      </c>
      <c r="Y7" s="7" t="s">
        <v>219</v>
      </c>
      <c r="Z7" s="7" t="s">
        <v>219</v>
      </c>
      <c r="AA7" s="7" t="s">
        <v>219</v>
      </c>
      <c r="AB7" s="7" t="s">
        <v>219</v>
      </c>
      <c r="AC7" s="7" t="s">
        <v>219</v>
      </c>
      <c r="AD7" s="7" t="s">
        <v>219</v>
      </c>
      <c r="AE7" s="7" t="s">
        <v>219</v>
      </c>
      <c r="AF7" s="7" t="s">
        <v>219</v>
      </c>
      <c r="AG7" s="7" t="s">
        <v>219</v>
      </c>
      <c r="AH7" s="7" t="s">
        <v>219</v>
      </c>
      <c r="AI7" s="7" t="s">
        <v>219</v>
      </c>
      <c r="AJ7" s="7" t="s">
        <v>219</v>
      </c>
      <c r="AK7" s="7" t="s">
        <v>219</v>
      </c>
      <c r="AL7" s="7" t="s">
        <v>219</v>
      </c>
      <c r="AM7" s="7" t="s">
        <v>219</v>
      </c>
      <c r="AN7" s="7" t="s">
        <v>219</v>
      </c>
      <c r="AO7" s="7" t="s">
        <v>219</v>
      </c>
      <c r="AP7" s="7" t="s">
        <v>219</v>
      </c>
    </row>
    <row r="8" spans="1:42" ht="24.95" customHeight="1" x14ac:dyDescent="0.25">
      <c r="A8" s="34">
        <v>6</v>
      </c>
      <c r="B8" s="34" t="s">
        <v>132</v>
      </c>
      <c r="C8" s="34" t="s">
        <v>133</v>
      </c>
      <c r="D8" s="34" t="s">
        <v>386</v>
      </c>
      <c r="E8" s="54" t="s">
        <v>485</v>
      </c>
      <c r="F8" s="54" t="s">
        <v>471</v>
      </c>
      <c r="G8" s="54" t="s">
        <v>472</v>
      </c>
      <c r="H8" s="54" t="s">
        <v>473</v>
      </c>
      <c r="I8" s="54" t="s">
        <v>474</v>
      </c>
      <c r="J8" s="54" t="s">
        <v>475</v>
      </c>
      <c r="K8" s="54">
        <v>3</v>
      </c>
      <c r="L8" s="54">
        <v>200</v>
      </c>
      <c r="M8" s="54">
        <v>400</v>
      </c>
      <c r="N8" s="54">
        <v>289</v>
      </c>
      <c r="O8" s="54">
        <v>0.8</v>
      </c>
      <c r="P8" s="54" t="s">
        <v>476</v>
      </c>
      <c r="Q8" s="54" t="s">
        <v>477</v>
      </c>
      <c r="R8" s="54">
        <v>6</v>
      </c>
      <c r="S8" s="54"/>
      <c r="T8" s="54"/>
      <c r="U8" s="54" t="s">
        <v>478</v>
      </c>
      <c r="V8" s="54"/>
      <c r="W8" s="54"/>
      <c r="X8" s="54">
        <v>1500</v>
      </c>
      <c r="Y8" s="54" t="s">
        <v>479</v>
      </c>
      <c r="Z8" s="54"/>
      <c r="AA8" s="54" t="s">
        <v>480</v>
      </c>
      <c r="AB8" s="54"/>
      <c r="AC8" s="54">
        <v>96</v>
      </c>
      <c r="AD8" s="54">
        <v>96</v>
      </c>
      <c r="AE8" s="54"/>
      <c r="AF8" s="54"/>
      <c r="AG8" s="54"/>
      <c r="AH8" s="54"/>
      <c r="AI8" s="54">
        <v>24</v>
      </c>
      <c r="AJ8" s="54">
        <v>160</v>
      </c>
      <c r="AK8" s="54">
        <v>135</v>
      </c>
      <c r="AL8" s="54" t="s">
        <v>481</v>
      </c>
      <c r="AM8" s="54" t="s">
        <v>482</v>
      </c>
      <c r="AN8" s="54">
        <v>50</v>
      </c>
      <c r="AO8" s="54" t="s">
        <v>483</v>
      </c>
      <c r="AP8" s="54">
        <v>2110</v>
      </c>
    </row>
    <row r="9" spans="1:42" ht="24.95" customHeight="1" x14ac:dyDescent="0.25">
      <c r="A9" s="34">
        <v>7</v>
      </c>
      <c r="B9" s="34" t="s">
        <v>134</v>
      </c>
      <c r="C9" s="34" t="s">
        <v>135</v>
      </c>
      <c r="D9" s="34" t="s">
        <v>387</v>
      </c>
      <c r="E9" s="54" t="s">
        <v>485</v>
      </c>
      <c r="F9" s="54" t="s">
        <v>471</v>
      </c>
      <c r="G9" s="54" t="s">
        <v>472</v>
      </c>
      <c r="H9" s="54" t="s">
        <v>473</v>
      </c>
      <c r="I9" s="54" t="s">
        <v>474</v>
      </c>
      <c r="J9" s="54" t="s">
        <v>475</v>
      </c>
      <c r="K9" s="54">
        <v>3</v>
      </c>
      <c r="L9" s="54">
        <v>200</v>
      </c>
      <c r="M9" s="54">
        <v>400</v>
      </c>
      <c r="N9" s="54">
        <v>289</v>
      </c>
      <c r="O9" s="54">
        <v>0.8</v>
      </c>
      <c r="P9" s="54" t="s">
        <v>476</v>
      </c>
      <c r="Q9" s="54" t="s">
        <v>477</v>
      </c>
      <c r="R9" s="54">
        <v>6</v>
      </c>
      <c r="S9" s="54"/>
      <c r="T9" s="54"/>
      <c r="U9" s="54" t="s">
        <v>478</v>
      </c>
      <c r="V9" s="54"/>
      <c r="W9" s="54"/>
      <c r="X9" s="54">
        <v>1500</v>
      </c>
      <c r="Y9" s="54" t="s">
        <v>479</v>
      </c>
      <c r="Z9" s="54"/>
      <c r="AA9" s="54" t="s">
        <v>480</v>
      </c>
      <c r="AB9" s="54"/>
      <c r="AC9" s="54">
        <v>96</v>
      </c>
      <c r="AD9" s="54">
        <v>96</v>
      </c>
      <c r="AE9" s="54"/>
      <c r="AF9" s="54"/>
      <c r="AG9" s="54"/>
      <c r="AH9" s="54"/>
      <c r="AI9" s="54">
        <v>24</v>
      </c>
      <c r="AJ9" s="54">
        <v>160</v>
      </c>
      <c r="AK9" s="54">
        <v>135</v>
      </c>
      <c r="AL9" s="54" t="s">
        <v>481</v>
      </c>
      <c r="AM9" s="54" t="s">
        <v>482</v>
      </c>
      <c r="AN9" s="54">
        <v>50</v>
      </c>
      <c r="AO9" s="54" t="s">
        <v>483</v>
      </c>
      <c r="AP9" s="54">
        <v>2110</v>
      </c>
    </row>
    <row r="10" spans="1:42" ht="24.95" customHeight="1" x14ac:dyDescent="0.25">
      <c r="A10" s="5">
        <v>8</v>
      </c>
      <c r="B10" s="5" t="s">
        <v>136</v>
      </c>
      <c r="C10" s="5" t="s">
        <v>137</v>
      </c>
      <c r="D10" s="6" t="s">
        <v>388</v>
      </c>
      <c r="E10" s="7" t="s">
        <v>219</v>
      </c>
      <c r="F10" s="7" t="s">
        <v>219</v>
      </c>
      <c r="G10" s="7" t="s">
        <v>219</v>
      </c>
      <c r="H10" s="7" t="s">
        <v>219</v>
      </c>
      <c r="I10" s="7" t="s">
        <v>219</v>
      </c>
      <c r="J10" s="7" t="s">
        <v>219</v>
      </c>
      <c r="K10" s="7" t="s">
        <v>219</v>
      </c>
      <c r="L10" s="7" t="s">
        <v>219</v>
      </c>
      <c r="M10" s="7" t="s">
        <v>219</v>
      </c>
      <c r="N10" s="7" t="s">
        <v>219</v>
      </c>
      <c r="O10" s="7" t="s">
        <v>219</v>
      </c>
      <c r="P10" s="7" t="s">
        <v>219</v>
      </c>
      <c r="Q10" s="7" t="s">
        <v>219</v>
      </c>
      <c r="R10" s="7" t="s">
        <v>219</v>
      </c>
      <c r="S10" s="7" t="s">
        <v>219</v>
      </c>
      <c r="T10" s="7" t="s">
        <v>219</v>
      </c>
      <c r="U10" s="7" t="s">
        <v>219</v>
      </c>
      <c r="V10" s="7" t="s">
        <v>219</v>
      </c>
      <c r="W10" s="7" t="s">
        <v>219</v>
      </c>
      <c r="X10" s="7" t="s">
        <v>219</v>
      </c>
      <c r="Y10" s="7" t="s">
        <v>219</v>
      </c>
      <c r="Z10" s="7" t="s">
        <v>219</v>
      </c>
      <c r="AA10" s="7" t="s">
        <v>219</v>
      </c>
      <c r="AB10" s="7" t="s">
        <v>219</v>
      </c>
      <c r="AC10" s="7" t="s">
        <v>219</v>
      </c>
      <c r="AD10" s="7" t="s">
        <v>219</v>
      </c>
      <c r="AE10" s="7" t="s">
        <v>219</v>
      </c>
      <c r="AF10" s="7" t="s">
        <v>219</v>
      </c>
      <c r="AG10" s="7" t="s">
        <v>219</v>
      </c>
      <c r="AH10" s="7" t="s">
        <v>219</v>
      </c>
      <c r="AI10" s="7" t="s">
        <v>219</v>
      </c>
      <c r="AJ10" s="7" t="s">
        <v>219</v>
      </c>
      <c r="AK10" s="7" t="s">
        <v>219</v>
      </c>
      <c r="AL10" s="7" t="s">
        <v>219</v>
      </c>
      <c r="AM10" s="7" t="s">
        <v>219</v>
      </c>
      <c r="AN10" s="7" t="s">
        <v>219</v>
      </c>
      <c r="AO10" s="7" t="s">
        <v>219</v>
      </c>
      <c r="AP10" s="7" t="s">
        <v>219</v>
      </c>
    </row>
    <row r="11" spans="1:42" ht="24.95" customHeight="1" x14ac:dyDescent="0.25">
      <c r="A11" s="5">
        <v>9</v>
      </c>
      <c r="B11" s="5" t="s">
        <v>138</v>
      </c>
      <c r="C11" s="5" t="s">
        <v>139</v>
      </c>
      <c r="D11" s="6" t="s">
        <v>389</v>
      </c>
      <c r="E11" s="7" t="s">
        <v>219</v>
      </c>
      <c r="F11" s="7" t="s">
        <v>219</v>
      </c>
      <c r="G11" s="7" t="s">
        <v>219</v>
      </c>
      <c r="H11" s="7" t="s">
        <v>219</v>
      </c>
      <c r="I11" s="7" t="s">
        <v>219</v>
      </c>
      <c r="J11" s="7" t="s">
        <v>219</v>
      </c>
      <c r="K11" s="7" t="s">
        <v>219</v>
      </c>
      <c r="L11" s="7" t="s">
        <v>219</v>
      </c>
      <c r="M11" s="7" t="s">
        <v>219</v>
      </c>
      <c r="N11" s="7" t="s">
        <v>219</v>
      </c>
      <c r="O11" s="7" t="s">
        <v>219</v>
      </c>
      <c r="P11" s="7" t="s">
        <v>219</v>
      </c>
      <c r="Q11" s="7" t="s">
        <v>219</v>
      </c>
      <c r="R11" s="7" t="s">
        <v>219</v>
      </c>
      <c r="S11" s="7" t="s">
        <v>219</v>
      </c>
      <c r="T11" s="7" t="s">
        <v>219</v>
      </c>
      <c r="U11" s="7" t="s">
        <v>219</v>
      </c>
      <c r="V11" s="7" t="s">
        <v>219</v>
      </c>
      <c r="W11" s="7" t="s">
        <v>219</v>
      </c>
      <c r="X11" s="7" t="s">
        <v>219</v>
      </c>
      <c r="Y11" s="7" t="s">
        <v>219</v>
      </c>
      <c r="Z11" s="7" t="s">
        <v>219</v>
      </c>
      <c r="AA11" s="7" t="s">
        <v>219</v>
      </c>
      <c r="AB11" s="7" t="s">
        <v>219</v>
      </c>
      <c r="AC11" s="7" t="s">
        <v>219</v>
      </c>
      <c r="AD11" s="7" t="s">
        <v>219</v>
      </c>
      <c r="AE11" s="7" t="s">
        <v>219</v>
      </c>
      <c r="AF11" s="7" t="s">
        <v>219</v>
      </c>
      <c r="AG11" s="7" t="s">
        <v>219</v>
      </c>
      <c r="AH11" s="7" t="s">
        <v>219</v>
      </c>
      <c r="AI11" s="7" t="s">
        <v>219</v>
      </c>
      <c r="AJ11" s="7" t="s">
        <v>219</v>
      </c>
      <c r="AK11" s="7" t="s">
        <v>219</v>
      </c>
      <c r="AL11" s="7" t="s">
        <v>219</v>
      </c>
      <c r="AM11" s="7" t="s">
        <v>219</v>
      </c>
      <c r="AN11" s="7" t="s">
        <v>219</v>
      </c>
      <c r="AO11" s="7" t="s">
        <v>219</v>
      </c>
      <c r="AP11" s="7" t="s">
        <v>219</v>
      </c>
    </row>
    <row r="12" spans="1:42" ht="24.95" customHeight="1" x14ac:dyDescent="0.25">
      <c r="A12" s="5">
        <v>10</v>
      </c>
      <c r="B12" s="5" t="s">
        <v>140</v>
      </c>
      <c r="C12" s="5" t="s">
        <v>141</v>
      </c>
      <c r="D12" s="6" t="s">
        <v>438</v>
      </c>
      <c r="E12" s="7" t="s">
        <v>219</v>
      </c>
      <c r="F12" s="7" t="s">
        <v>219</v>
      </c>
      <c r="G12" s="7" t="s">
        <v>219</v>
      </c>
      <c r="H12" s="7" t="s">
        <v>219</v>
      </c>
      <c r="I12" s="7" t="s">
        <v>219</v>
      </c>
      <c r="J12" s="7" t="s">
        <v>219</v>
      </c>
      <c r="K12" s="7" t="s">
        <v>219</v>
      </c>
      <c r="L12" s="7" t="s">
        <v>219</v>
      </c>
      <c r="M12" s="7" t="s">
        <v>219</v>
      </c>
      <c r="N12" s="7" t="s">
        <v>219</v>
      </c>
      <c r="O12" s="7" t="s">
        <v>219</v>
      </c>
      <c r="P12" s="7" t="s">
        <v>219</v>
      </c>
      <c r="Q12" s="7" t="s">
        <v>219</v>
      </c>
      <c r="R12" s="7" t="s">
        <v>219</v>
      </c>
      <c r="S12" s="7" t="s">
        <v>219</v>
      </c>
      <c r="T12" s="7" t="s">
        <v>219</v>
      </c>
      <c r="U12" s="7" t="s">
        <v>219</v>
      </c>
      <c r="V12" s="7" t="s">
        <v>219</v>
      </c>
      <c r="W12" s="7" t="s">
        <v>219</v>
      </c>
      <c r="X12" s="7" t="s">
        <v>219</v>
      </c>
      <c r="Y12" s="7" t="s">
        <v>219</v>
      </c>
      <c r="Z12" s="7" t="s">
        <v>219</v>
      </c>
      <c r="AA12" s="7" t="s">
        <v>219</v>
      </c>
      <c r="AB12" s="7" t="s">
        <v>219</v>
      </c>
      <c r="AC12" s="7" t="s">
        <v>219</v>
      </c>
      <c r="AD12" s="7" t="s">
        <v>219</v>
      </c>
      <c r="AE12" s="7" t="s">
        <v>219</v>
      </c>
      <c r="AF12" s="7" t="s">
        <v>219</v>
      </c>
      <c r="AG12" s="7" t="s">
        <v>219</v>
      </c>
      <c r="AH12" s="7" t="s">
        <v>219</v>
      </c>
      <c r="AI12" s="7" t="s">
        <v>219</v>
      </c>
      <c r="AJ12" s="7" t="s">
        <v>219</v>
      </c>
      <c r="AK12" s="7" t="s">
        <v>219</v>
      </c>
      <c r="AL12" s="7" t="s">
        <v>219</v>
      </c>
      <c r="AM12" s="7" t="s">
        <v>219</v>
      </c>
      <c r="AN12" s="7" t="s">
        <v>219</v>
      </c>
      <c r="AO12" s="7" t="s">
        <v>219</v>
      </c>
      <c r="AP12" s="7" t="s">
        <v>219</v>
      </c>
    </row>
    <row r="13" spans="1:42" ht="24.95" customHeight="1" x14ac:dyDescent="0.25">
      <c r="A13" s="7">
        <v>11</v>
      </c>
      <c r="B13" s="7" t="s">
        <v>142</v>
      </c>
      <c r="C13" s="7" t="s">
        <v>143</v>
      </c>
      <c r="D13" s="6" t="s">
        <v>439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ht="24.95" customHeight="1" x14ac:dyDescent="0.25">
      <c r="A14" s="7">
        <v>12</v>
      </c>
      <c r="B14" s="7" t="s">
        <v>144</v>
      </c>
      <c r="C14" s="7" t="s">
        <v>145</v>
      </c>
      <c r="D14" s="6" t="s">
        <v>440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ht="24.95" customHeight="1" x14ac:dyDescent="0.25">
      <c r="A15" s="7">
        <v>13</v>
      </c>
      <c r="B15" s="7" t="s">
        <v>146</v>
      </c>
      <c r="C15" s="7" t="s">
        <v>147</v>
      </c>
      <c r="D15" s="6" t="s">
        <v>441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ht="24.95" customHeight="1" x14ac:dyDescent="0.25">
      <c r="A16" s="7">
        <v>14</v>
      </c>
      <c r="B16" s="7" t="s">
        <v>148</v>
      </c>
      <c r="C16" s="7" t="s">
        <v>149</v>
      </c>
      <c r="D16" s="6" t="s">
        <v>442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ht="24.95" customHeight="1" x14ac:dyDescent="0.25">
      <c r="A17" s="7">
        <v>15</v>
      </c>
      <c r="B17" s="7" t="s">
        <v>150</v>
      </c>
      <c r="C17" s="7" t="s">
        <v>151</v>
      </c>
      <c r="D17" s="6" t="s">
        <v>443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ht="24.95" customHeight="1" x14ac:dyDescent="0.25">
      <c r="A18" s="7">
        <v>16</v>
      </c>
      <c r="B18" s="7" t="s">
        <v>152</v>
      </c>
      <c r="C18" s="7" t="s">
        <v>153</v>
      </c>
      <c r="D18" s="6" t="s">
        <v>444</v>
      </c>
      <c r="E18" s="48" t="s">
        <v>781</v>
      </c>
      <c r="F18" s="48" t="s">
        <v>781</v>
      </c>
      <c r="G18" s="48" t="s">
        <v>781</v>
      </c>
      <c r="H18" s="48" t="s">
        <v>781</v>
      </c>
      <c r="I18" s="48" t="s">
        <v>781</v>
      </c>
      <c r="J18" s="48" t="s">
        <v>781</v>
      </c>
      <c r="K18" s="48" t="s">
        <v>781</v>
      </c>
      <c r="L18" s="48" t="s">
        <v>781</v>
      </c>
      <c r="M18" s="48" t="s">
        <v>781</v>
      </c>
      <c r="N18" s="48" t="s">
        <v>781</v>
      </c>
      <c r="O18" s="48" t="s">
        <v>781</v>
      </c>
      <c r="P18" s="48" t="s">
        <v>781</v>
      </c>
      <c r="Q18" s="48" t="s">
        <v>781</v>
      </c>
      <c r="R18" s="48" t="s">
        <v>781</v>
      </c>
      <c r="S18" s="48" t="s">
        <v>781</v>
      </c>
      <c r="T18" s="48" t="s">
        <v>781</v>
      </c>
      <c r="U18" s="48" t="s">
        <v>781</v>
      </c>
      <c r="V18" s="48" t="s">
        <v>781</v>
      </c>
      <c r="W18" s="48" t="s">
        <v>781</v>
      </c>
      <c r="X18" s="48" t="s">
        <v>781</v>
      </c>
      <c r="Y18" s="48" t="s">
        <v>781</v>
      </c>
      <c r="Z18" s="48" t="s">
        <v>781</v>
      </c>
      <c r="AA18" s="48" t="s">
        <v>781</v>
      </c>
      <c r="AB18" s="48" t="s">
        <v>781</v>
      </c>
      <c r="AC18" s="48" t="s">
        <v>781</v>
      </c>
      <c r="AD18" s="48" t="s">
        <v>781</v>
      </c>
      <c r="AE18" s="48" t="s">
        <v>781</v>
      </c>
      <c r="AF18" s="48" t="s">
        <v>781</v>
      </c>
      <c r="AG18" s="48" t="s">
        <v>781</v>
      </c>
      <c r="AH18" s="48" t="s">
        <v>781</v>
      </c>
      <c r="AI18" s="48" t="s">
        <v>781</v>
      </c>
      <c r="AJ18" s="48" t="s">
        <v>781</v>
      </c>
      <c r="AK18" s="48" t="s">
        <v>781</v>
      </c>
      <c r="AL18" s="48" t="s">
        <v>781</v>
      </c>
      <c r="AM18" s="48" t="s">
        <v>781</v>
      </c>
      <c r="AN18" s="48" t="s">
        <v>781</v>
      </c>
      <c r="AO18" s="48" t="s">
        <v>781</v>
      </c>
      <c r="AP18" s="48" t="s">
        <v>781</v>
      </c>
    </row>
    <row r="19" spans="1:42" ht="24.95" customHeight="1" x14ac:dyDescent="0.25">
      <c r="A19" s="7">
        <v>17</v>
      </c>
      <c r="B19" s="7" t="s">
        <v>154</v>
      </c>
      <c r="C19" s="7" t="s">
        <v>155</v>
      </c>
      <c r="D19" s="6" t="s">
        <v>445</v>
      </c>
      <c r="E19" s="7" t="s">
        <v>219</v>
      </c>
      <c r="F19" s="7" t="s">
        <v>219</v>
      </c>
      <c r="G19" s="7" t="s">
        <v>219</v>
      </c>
      <c r="H19" s="7" t="s">
        <v>219</v>
      </c>
      <c r="I19" s="7" t="s">
        <v>219</v>
      </c>
      <c r="J19" s="7" t="s">
        <v>219</v>
      </c>
      <c r="K19" s="7" t="s">
        <v>219</v>
      </c>
      <c r="L19" s="7" t="s">
        <v>219</v>
      </c>
      <c r="M19" s="7" t="s">
        <v>219</v>
      </c>
      <c r="N19" s="7" t="s">
        <v>219</v>
      </c>
      <c r="O19" s="7" t="s">
        <v>219</v>
      </c>
      <c r="P19" s="7" t="s">
        <v>219</v>
      </c>
      <c r="Q19" s="7" t="s">
        <v>219</v>
      </c>
      <c r="R19" s="7" t="s">
        <v>219</v>
      </c>
      <c r="S19" s="7" t="s">
        <v>219</v>
      </c>
      <c r="T19" s="7" t="s">
        <v>219</v>
      </c>
      <c r="U19" s="7" t="s">
        <v>219</v>
      </c>
      <c r="V19" s="7" t="s">
        <v>219</v>
      </c>
      <c r="W19" s="7" t="s">
        <v>219</v>
      </c>
      <c r="X19" s="7" t="s">
        <v>219</v>
      </c>
      <c r="Y19" s="7" t="s">
        <v>219</v>
      </c>
      <c r="Z19" s="7" t="s">
        <v>219</v>
      </c>
      <c r="AA19" s="7" t="s">
        <v>219</v>
      </c>
      <c r="AB19" s="7" t="s">
        <v>219</v>
      </c>
      <c r="AC19" s="7" t="s">
        <v>219</v>
      </c>
      <c r="AD19" s="7" t="s">
        <v>219</v>
      </c>
      <c r="AE19" s="7" t="s">
        <v>219</v>
      </c>
      <c r="AF19" s="7" t="s">
        <v>219</v>
      </c>
      <c r="AG19" s="7" t="s">
        <v>219</v>
      </c>
      <c r="AH19" s="7" t="s">
        <v>219</v>
      </c>
      <c r="AI19" s="7" t="s">
        <v>219</v>
      </c>
      <c r="AJ19" s="7" t="s">
        <v>219</v>
      </c>
      <c r="AK19" s="7" t="s">
        <v>219</v>
      </c>
      <c r="AL19" s="7" t="s">
        <v>219</v>
      </c>
      <c r="AM19" s="7" t="s">
        <v>219</v>
      </c>
      <c r="AN19" s="7" t="s">
        <v>219</v>
      </c>
      <c r="AO19" s="7" t="s">
        <v>219</v>
      </c>
      <c r="AP19" s="7" t="s">
        <v>219</v>
      </c>
    </row>
    <row r="20" spans="1:42" ht="24.95" customHeight="1" x14ac:dyDescent="0.25">
      <c r="A20" s="7">
        <v>18</v>
      </c>
      <c r="B20" s="7" t="s">
        <v>156</v>
      </c>
      <c r="C20" s="7" t="s">
        <v>157</v>
      </c>
      <c r="D20" s="6" t="s">
        <v>494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ht="24.95" customHeight="1" x14ac:dyDescent="0.25">
      <c r="A21" s="7">
        <v>19</v>
      </c>
      <c r="B21" s="7" t="s">
        <v>158</v>
      </c>
      <c r="C21" s="7" t="s">
        <v>159</v>
      </c>
      <c r="D21" s="6" t="s">
        <v>495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ht="24.95" customHeight="1" x14ac:dyDescent="0.25">
      <c r="A22" s="7">
        <v>20</v>
      </c>
      <c r="B22" s="7" t="s">
        <v>160</v>
      </c>
      <c r="C22" s="7" t="s">
        <v>161</v>
      </c>
      <c r="D22" s="6" t="s">
        <v>496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ht="24.95" customHeight="1" x14ac:dyDescent="0.25">
      <c r="A23" s="7">
        <v>21</v>
      </c>
      <c r="B23" s="7" t="s">
        <v>162</v>
      </c>
      <c r="C23" s="7" t="s">
        <v>163</v>
      </c>
      <c r="D23" s="6" t="s">
        <v>497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ht="24.95" customHeight="1" x14ac:dyDescent="0.25">
      <c r="A24" s="7">
        <v>22</v>
      </c>
      <c r="B24" s="7" t="s">
        <v>164</v>
      </c>
      <c r="C24" s="7" t="s">
        <v>165</v>
      </c>
      <c r="D24" s="6" t="s">
        <v>498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ht="24.95" customHeight="1" x14ac:dyDescent="0.25">
      <c r="A25" s="7">
        <v>23</v>
      </c>
      <c r="B25" s="7" t="s">
        <v>166</v>
      </c>
      <c r="C25" s="7" t="s">
        <v>167</v>
      </c>
      <c r="D25" s="6" t="s">
        <v>499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ht="24.95" customHeight="1" x14ac:dyDescent="0.25">
      <c r="A26" s="7">
        <v>24</v>
      </c>
      <c r="B26" s="7" t="s">
        <v>168</v>
      </c>
      <c r="C26" s="7" t="s">
        <v>169</v>
      </c>
      <c r="D26" s="6" t="s">
        <v>500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ht="24.95" customHeight="1" x14ac:dyDescent="0.25">
      <c r="A27" s="8">
        <v>25</v>
      </c>
      <c r="B27" s="7" t="s">
        <v>170</v>
      </c>
      <c r="C27" s="7" t="s">
        <v>171</v>
      </c>
      <c r="D27" s="6" t="s">
        <v>501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ht="24.95" customHeight="1" x14ac:dyDescent="0.25">
      <c r="A28" s="8">
        <v>26</v>
      </c>
      <c r="B28" s="7" t="s">
        <v>172</v>
      </c>
      <c r="C28" s="7" t="s">
        <v>173</v>
      </c>
      <c r="D28" s="6" t="s">
        <v>502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ht="24.95" customHeight="1" x14ac:dyDescent="0.25">
      <c r="A29" s="7">
        <v>27</v>
      </c>
      <c r="B29" s="7" t="s">
        <v>174</v>
      </c>
      <c r="C29" s="7" t="s">
        <v>175</v>
      </c>
      <c r="D29" s="6" t="s">
        <v>503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ht="24.95" customHeight="1" x14ac:dyDescent="0.25">
      <c r="A30" s="7">
        <v>28</v>
      </c>
      <c r="B30" s="7" t="s">
        <v>176</v>
      </c>
      <c r="C30" s="7" t="s">
        <v>177</v>
      </c>
      <c r="D30" s="6" t="s">
        <v>504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ht="24.95" customHeight="1" x14ac:dyDescent="0.25">
      <c r="A31" s="7">
        <v>29</v>
      </c>
      <c r="B31" s="7" t="s">
        <v>178</v>
      </c>
      <c r="C31" s="7" t="s">
        <v>179</v>
      </c>
      <c r="D31" s="6" t="s">
        <v>505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ht="24.95" customHeight="1" x14ac:dyDescent="0.25">
      <c r="A32" s="7">
        <v>30</v>
      </c>
      <c r="B32" s="7" t="s">
        <v>180</v>
      </c>
      <c r="C32" s="7" t="s">
        <v>181</v>
      </c>
      <c r="D32" s="6" t="s">
        <v>506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24.95" customHeight="1" x14ac:dyDescent="0.25">
      <c r="A33" s="7">
        <v>31</v>
      </c>
      <c r="B33" s="7" t="s">
        <v>182</v>
      </c>
      <c r="C33" s="7" t="s">
        <v>183</v>
      </c>
      <c r="D33" s="6" t="s">
        <v>507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24.95" customHeight="1" x14ac:dyDescent="0.25">
      <c r="A34" s="7">
        <v>32</v>
      </c>
      <c r="B34" s="7" t="s">
        <v>184</v>
      </c>
      <c r="C34" s="7" t="s">
        <v>185</v>
      </c>
      <c r="D34" s="6" t="s">
        <v>508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24.95" customHeight="1" x14ac:dyDescent="0.25">
      <c r="A35" s="17">
        <v>33</v>
      </c>
      <c r="B35" s="17" t="s">
        <v>186</v>
      </c>
      <c r="C35" s="17" t="s">
        <v>187</v>
      </c>
      <c r="D35" s="34" t="s">
        <v>509</v>
      </c>
      <c r="E35" s="54" t="s">
        <v>528</v>
      </c>
      <c r="F35" s="54" t="s">
        <v>529</v>
      </c>
      <c r="G35" s="54" t="s">
        <v>487</v>
      </c>
      <c r="H35" s="54" t="s">
        <v>530</v>
      </c>
      <c r="I35" s="54" t="s">
        <v>531</v>
      </c>
      <c r="J35" s="54" t="s">
        <v>532</v>
      </c>
      <c r="K35" s="54">
        <v>3</v>
      </c>
      <c r="L35" s="54" t="s">
        <v>533</v>
      </c>
      <c r="M35" s="54" t="s">
        <v>534</v>
      </c>
      <c r="N35" s="54" t="s">
        <v>535</v>
      </c>
      <c r="O35" s="54">
        <v>0.8</v>
      </c>
      <c r="P35" s="54" t="s">
        <v>536</v>
      </c>
      <c r="Q35" s="54" t="s">
        <v>537</v>
      </c>
      <c r="R35" s="54" t="s">
        <v>538</v>
      </c>
      <c r="S35" s="54"/>
      <c r="T35" s="54"/>
      <c r="U35" s="54"/>
      <c r="V35" s="54"/>
      <c r="W35" s="54">
        <v>4</v>
      </c>
      <c r="X35" s="54">
        <v>1500</v>
      </c>
      <c r="Y35" s="54" t="s">
        <v>539</v>
      </c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</row>
    <row r="36" spans="1:42" ht="24.95" customHeight="1" x14ac:dyDescent="0.25">
      <c r="A36" s="7">
        <v>34</v>
      </c>
      <c r="B36" s="7" t="s">
        <v>188</v>
      </c>
      <c r="C36" s="7" t="s">
        <v>189</v>
      </c>
      <c r="D36" s="6" t="s">
        <v>510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24.95" customHeight="1" x14ac:dyDescent="0.25">
      <c r="A37" s="7">
        <v>35</v>
      </c>
      <c r="B37" s="7" t="s">
        <v>190</v>
      </c>
      <c r="C37" s="7" t="s">
        <v>191</v>
      </c>
      <c r="D37" s="6" t="s">
        <v>511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24.95" customHeight="1" x14ac:dyDescent="0.25">
      <c r="A38" s="7">
        <v>36</v>
      </c>
      <c r="B38" s="7" t="s">
        <v>192</v>
      </c>
      <c r="C38" s="7" t="s">
        <v>193</v>
      </c>
      <c r="D38" s="6" t="s">
        <v>512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24.95" customHeight="1" x14ac:dyDescent="0.25">
      <c r="A39" s="17">
        <v>37</v>
      </c>
      <c r="B39" s="17" t="s">
        <v>194</v>
      </c>
      <c r="C39" s="17" t="s">
        <v>195</v>
      </c>
      <c r="D39" s="34" t="s">
        <v>513</v>
      </c>
      <c r="E39" s="54" t="s">
        <v>485</v>
      </c>
      <c r="F39" s="54" t="s">
        <v>471</v>
      </c>
      <c r="G39" s="54" t="s">
        <v>472</v>
      </c>
      <c r="H39" s="54" t="s">
        <v>473</v>
      </c>
      <c r="I39" s="54" t="s">
        <v>474</v>
      </c>
      <c r="J39" s="54" t="s">
        <v>475</v>
      </c>
      <c r="K39" s="54">
        <v>3</v>
      </c>
      <c r="L39" s="54">
        <v>200</v>
      </c>
      <c r="M39" s="54">
        <v>400</v>
      </c>
      <c r="N39" s="54">
        <v>289</v>
      </c>
      <c r="O39" s="54">
        <v>0.8</v>
      </c>
      <c r="P39" s="54" t="s">
        <v>476</v>
      </c>
      <c r="Q39" s="54" t="s">
        <v>477</v>
      </c>
      <c r="R39" s="54">
        <v>6</v>
      </c>
      <c r="S39" s="54"/>
      <c r="T39" s="54"/>
      <c r="U39" s="54" t="s">
        <v>478</v>
      </c>
      <c r="V39" s="54"/>
      <c r="W39" s="54"/>
      <c r="X39" s="54">
        <v>1500</v>
      </c>
      <c r="Y39" s="54" t="s">
        <v>479</v>
      </c>
      <c r="Z39" s="54"/>
      <c r="AA39" s="54" t="s">
        <v>480</v>
      </c>
      <c r="AB39" s="54"/>
      <c r="AC39" s="54">
        <v>96</v>
      </c>
      <c r="AD39" s="54">
        <v>96</v>
      </c>
      <c r="AE39" s="54"/>
      <c r="AF39" s="54"/>
      <c r="AG39" s="54"/>
      <c r="AH39" s="54"/>
      <c r="AI39" s="54">
        <v>24</v>
      </c>
      <c r="AJ39" s="54">
        <v>160</v>
      </c>
      <c r="AK39" s="54">
        <v>135</v>
      </c>
      <c r="AL39" s="54" t="s">
        <v>481</v>
      </c>
      <c r="AM39" s="54" t="s">
        <v>482</v>
      </c>
      <c r="AN39" s="54">
        <v>50</v>
      </c>
      <c r="AO39" s="54" t="s">
        <v>483</v>
      </c>
      <c r="AP39" s="54">
        <v>2110</v>
      </c>
    </row>
    <row r="40" spans="1:42" ht="24.95" customHeight="1" x14ac:dyDescent="0.25">
      <c r="A40" s="17">
        <v>38</v>
      </c>
      <c r="B40" s="17" t="s">
        <v>196</v>
      </c>
      <c r="C40" s="17" t="s">
        <v>197</v>
      </c>
      <c r="D40" s="34" t="s">
        <v>514</v>
      </c>
      <c r="E40" s="54" t="s">
        <v>485</v>
      </c>
      <c r="F40" s="54" t="s">
        <v>471</v>
      </c>
      <c r="G40" s="54" t="s">
        <v>487</v>
      </c>
      <c r="H40" s="54" t="s">
        <v>473</v>
      </c>
      <c r="I40" s="54" t="s">
        <v>479</v>
      </c>
      <c r="J40" s="54" t="s">
        <v>527</v>
      </c>
      <c r="K40" s="54">
        <v>3</v>
      </c>
      <c r="L40" s="54">
        <v>200</v>
      </c>
      <c r="M40" s="54">
        <v>400</v>
      </c>
      <c r="N40" s="54">
        <v>289</v>
      </c>
      <c r="O40" s="54">
        <v>0.8</v>
      </c>
      <c r="P40" s="54" t="s">
        <v>476</v>
      </c>
      <c r="Q40" s="54" t="s">
        <v>477</v>
      </c>
      <c r="R40" s="54">
        <v>6</v>
      </c>
      <c r="S40" s="54"/>
      <c r="T40" s="54"/>
      <c r="U40" s="54" t="s">
        <v>478</v>
      </c>
      <c r="V40" s="54"/>
      <c r="W40" s="54"/>
      <c r="X40" s="54">
        <v>1500</v>
      </c>
      <c r="Y40" s="54" t="s">
        <v>479</v>
      </c>
      <c r="Z40" s="54"/>
      <c r="AA40" s="54" t="s">
        <v>480</v>
      </c>
      <c r="AB40" s="54"/>
      <c r="AC40" s="54">
        <v>96</v>
      </c>
      <c r="AD40" s="54">
        <v>96</v>
      </c>
      <c r="AE40" s="54"/>
      <c r="AF40" s="54"/>
      <c r="AG40" s="54"/>
      <c r="AH40" s="54"/>
      <c r="AI40" s="54">
        <v>24</v>
      </c>
      <c r="AJ40" s="54">
        <v>160</v>
      </c>
      <c r="AK40" s="54">
        <v>135</v>
      </c>
      <c r="AL40" s="54" t="s">
        <v>481</v>
      </c>
      <c r="AM40" s="54" t="s">
        <v>482</v>
      </c>
      <c r="AN40" s="54">
        <v>50</v>
      </c>
      <c r="AO40" s="54" t="s">
        <v>483</v>
      </c>
      <c r="AP40" s="54">
        <v>2110</v>
      </c>
    </row>
    <row r="41" spans="1:42" ht="24.95" customHeight="1" x14ac:dyDescent="0.25">
      <c r="A41" s="17">
        <v>39</v>
      </c>
      <c r="B41" s="17" t="s">
        <v>198</v>
      </c>
      <c r="C41" s="17" t="s">
        <v>199</v>
      </c>
      <c r="D41" s="34" t="s">
        <v>515</v>
      </c>
      <c r="E41" s="54" t="s">
        <v>525</v>
      </c>
      <c r="F41" s="54" t="s">
        <v>486</v>
      </c>
      <c r="G41" s="54" t="s">
        <v>487</v>
      </c>
      <c r="H41" s="54" t="s">
        <v>488</v>
      </c>
      <c r="I41" s="54" t="s">
        <v>489</v>
      </c>
      <c r="J41" s="54" t="s">
        <v>490</v>
      </c>
      <c r="K41" s="54">
        <v>3</v>
      </c>
      <c r="L41" s="54" t="s">
        <v>491</v>
      </c>
      <c r="M41" s="54">
        <v>400</v>
      </c>
      <c r="N41" s="54" t="s">
        <v>492</v>
      </c>
      <c r="O41" s="54">
        <v>0.8</v>
      </c>
      <c r="P41" s="54" t="s">
        <v>476</v>
      </c>
      <c r="Q41" s="54"/>
      <c r="R41" s="54"/>
      <c r="S41" s="54"/>
      <c r="T41" s="54"/>
      <c r="U41" s="54" t="s">
        <v>493</v>
      </c>
      <c r="V41" s="54"/>
      <c r="W41" s="54"/>
      <c r="X41" s="54">
        <v>1500</v>
      </c>
      <c r="Y41" s="54" t="s">
        <v>479</v>
      </c>
      <c r="Z41" s="54"/>
      <c r="AA41" s="54"/>
      <c r="AB41" s="54"/>
      <c r="AC41" s="54">
        <v>97</v>
      </c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>
        <v>1453</v>
      </c>
    </row>
    <row r="42" spans="1:42" ht="24.95" customHeight="1" x14ac:dyDescent="0.25">
      <c r="A42" s="7">
        <v>40</v>
      </c>
      <c r="B42" s="7" t="s">
        <v>200</v>
      </c>
      <c r="C42" s="7" t="s">
        <v>201</v>
      </c>
      <c r="D42" s="6" t="s">
        <v>516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24.95" customHeight="1" x14ac:dyDescent="0.25">
      <c r="A43" s="17">
        <v>41</v>
      </c>
      <c r="B43" s="17" t="s">
        <v>202</v>
      </c>
      <c r="C43" s="17" t="s">
        <v>203</v>
      </c>
      <c r="D43" s="34" t="s">
        <v>517</v>
      </c>
      <c r="E43" s="54" t="s">
        <v>485</v>
      </c>
      <c r="F43" s="54" t="s">
        <v>471</v>
      </c>
      <c r="G43" s="54" t="s">
        <v>487</v>
      </c>
      <c r="H43" s="54" t="s">
        <v>526</v>
      </c>
      <c r="I43" s="54" t="s">
        <v>479</v>
      </c>
      <c r="J43" s="54" t="s">
        <v>527</v>
      </c>
      <c r="K43" s="54">
        <v>3</v>
      </c>
      <c r="L43" s="54">
        <v>200</v>
      </c>
      <c r="M43" s="54">
        <v>400</v>
      </c>
      <c r="N43" s="54">
        <v>289</v>
      </c>
      <c r="O43" s="54">
        <v>0.8</v>
      </c>
      <c r="P43" s="54" t="s">
        <v>476</v>
      </c>
      <c r="Q43" s="54" t="s">
        <v>477</v>
      </c>
      <c r="R43" s="54">
        <v>6</v>
      </c>
      <c r="S43" s="54"/>
      <c r="T43" s="54"/>
      <c r="U43" s="54" t="s">
        <v>478</v>
      </c>
      <c r="V43" s="54"/>
      <c r="W43" s="54"/>
      <c r="X43" s="54">
        <v>1500</v>
      </c>
      <c r="Y43" s="54" t="s">
        <v>479</v>
      </c>
      <c r="Z43" s="54"/>
      <c r="AA43" s="54" t="s">
        <v>480</v>
      </c>
      <c r="AB43" s="54"/>
      <c r="AC43" s="54">
        <v>96</v>
      </c>
      <c r="AD43" s="54">
        <v>96</v>
      </c>
      <c r="AE43" s="54"/>
      <c r="AF43" s="54"/>
      <c r="AG43" s="54"/>
      <c r="AH43" s="54"/>
      <c r="AI43" s="54">
        <v>24</v>
      </c>
      <c r="AJ43" s="54">
        <v>160</v>
      </c>
      <c r="AK43" s="54">
        <v>135</v>
      </c>
      <c r="AL43" s="54" t="s">
        <v>481</v>
      </c>
      <c r="AM43" s="54" t="s">
        <v>482</v>
      </c>
      <c r="AN43" s="54">
        <v>50</v>
      </c>
      <c r="AO43" s="54" t="s">
        <v>483</v>
      </c>
      <c r="AP43" s="54">
        <v>2110</v>
      </c>
    </row>
    <row r="44" spans="1:42" ht="24.95" customHeight="1" x14ac:dyDescent="0.25">
      <c r="A44" s="7">
        <v>42</v>
      </c>
      <c r="B44" s="7" t="s">
        <v>204</v>
      </c>
      <c r="C44" s="7" t="s">
        <v>205</v>
      </c>
      <c r="D44" s="6" t="s">
        <v>518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24.95" customHeight="1" x14ac:dyDescent="0.25">
      <c r="A45" s="48">
        <v>43</v>
      </c>
      <c r="B45" s="48" t="s">
        <v>206</v>
      </c>
      <c r="C45" s="48" t="s">
        <v>207</v>
      </c>
      <c r="D45" s="59" t="s">
        <v>519</v>
      </c>
      <c r="E45" s="48" t="s">
        <v>781</v>
      </c>
      <c r="F45" s="48" t="s">
        <v>781</v>
      </c>
      <c r="G45" s="48" t="s">
        <v>781</v>
      </c>
      <c r="H45" s="48" t="s">
        <v>781</v>
      </c>
      <c r="I45" s="48" t="s">
        <v>781</v>
      </c>
      <c r="J45" s="48" t="s">
        <v>781</v>
      </c>
      <c r="K45" s="48" t="s">
        <v>781</v>
      </c>
      <c r="L45" s="48" t="s">
        <v>781</v>
      </c>
      <c r="M45" s="48" t="s">
        <v>781</v>
      </c>
      <c r="N45" s="48" t="s">
        <v>781</v>
      </c>
      <c r="O45" s="48" t="s">
        <v>781</v>
      </c>
      <c r="P45" s="48" t="s">
        <v>781</v>
      </c>
      <c r="Q45" s="48" t="s">
        <v>781</v>
      </c>
      <c r="R45" s="48" t="s">
        <v>781</v>
      </c>
      <c r="S45" s="48" t="s">
        <v>781</v>
      </c>
      <c r="T45" s="48" t="s">
        <v>781</v>
      </c>
      <c r="U45" s="48" t="s">
        <v>781</v>
      </c>
      <c r="V45" s="48" t="s">
        <v>781</v>
      </c>
      <c r="W45" s="48" t="s">
        <v>781</v>
      </c>
      <c r="X45" s="48" t="s">
        <v>781</v>
      </c>
      <c r="Y45" s="48" t="s">
        <v>781</v>
      </c>
      <c r="Z45" s="48" t="s">
        <v>781</v>
      </c>
      <c r="AA45" s="48" t="s">
        <v>781</v>
      </c>
      <c r="AB45" s="48" t="s">
        <v>781</v>
      </c>
      <c r="AC45" s="48" t="s">
        <v>781</v>
      </c>
      <c r="AD45" s="48" t="s">
        <v>781</v>
      </c>
      <c r="AE45" s="48" t="s">
        <v>781</v>
      </c>
      <c r="AF45" s="48" t="s">
        <v>781</v>
      </c>
      <c r="AG45" s="48" t="s">
        <v>781</v>
      </c>
      <c r="AH45" s="48" t="s">
        <v>781</v>
      </c>
      <c r="AI45" s="48" t="s">
        <v>781</v>
      </c>
      <c r="AJ45" s="48" t="s">
        <v>781</v>
      </c>
      <c r="AK45" s="48" t="s">
        <v>781</v>
      </c>
      <c r="AL45" s="48" t="s">
        <v>781</v>
      </c>
      <c r="AM45" s="48" t="s">
        <v>781</v>
      </c>
      <c r="AN45" s="48" t="s">
        <v>781</v>
      </c>
      <c r="AO45" s="48" t="s">
        <v>781</v>
      </c>
      <c r="AP45" s="48" t="s">
        <v>781</v>
      </c>
    </row>
    <row r="46" spans="1:42" ht="24.95" customHeight="1" x14ac:dyDescent="0.25">
      <c r="A46" s="7">
        <v>44</v>
      </c>
      <c r="B46" s="7" t="s">
        <v>208</v>
      </c>
      <c r="C46" s="7" t="s">
        <v>209</v>
      </c>
      <c r="D46" s="6" t="s">
        <v>520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24.95" customHeight="1" x14ac:dyDescent="0.25">
      <c r="A47" s="48">
        <v>45</v>
      </c>
      <c r="B47" s="48" t="s">
        <v>210</v>
      </c>
      <c r="C47" s="48" t="s">
        <v>211</v>
      </c>
      <c r="D47" s="59" t="s">
        <v>521</v>
      </c>
      <c r="E47" s="48" t="s">
        <v>781</v>
      </c>
      <c r="F47" s="48" t="s">
        <v>781</v>
      </c>
      <c r="G47" s="48" t="s">
        <v>781</v>
      </c>
      <c r="H47" s="48" t="s">
        <v>781</v>
      </c>
      <c r="I47" s="48" t="s">
        <v>781</v>
      </c>
      <c r="J47" s="48" t="s">
        <v>781</v>
      </c>
      <c r="K47" s="48" t="s">
        <v>781</v>
      </c>
      <c r="L47" s="48" t="s">
        <v>781</v>
      </c>
      <c r="M47" s="48" t="s">
        <v>781</v>
      </c>
      <c r="N47" s="48" t="s">
        <v>781</v>
      </c>
      <c r="O47" s="48" t="s">
        <v>781</v>
      </c>
      <c r="P47" s="48" t="s">
        <v>781</v>
      </c>
      <c r="Q47" s="48" t="s">
        <v>781</v>
      </c>
      <c r="R47" s="48" t="s">
        <v>781</v>
      </c>
      <c r="S47" s="48" t="s">
        <v>781</v>
      </c>
      <c r="T47" s="48" t="s">
        <v>781</v>
      </c>
      <c r="U47" s="48" t="s">
        <v>781</v>
      </c>
      <c r="V47" s="48" t="s">
        <v>781</v>
      </c>
      <c r="W47" s="48" t="s">
        <v>781</v>
      </c>
      <c r="X47" s="48" t="s">
        <v>781</v>
      </c>
      <c r="Y47" s="48" t="s">
        <v>781</v>
      </c>
      <c r="Z47" s="48" t="s">
        <v>781</v>
      </c>
      <c r="AA47" s="48" t="s">
        <v>781</v>
      </c>
      <c r="AB47" s="48" t="s">
        <v>781</v>
      </c>
      <c r="AC47" s="48" t="s">
        <v>781</v>
      </c>
      <c r="AD47" s="48" t="s">
        <v>781</v>
      </c>
      <c r="AE47" s="48" t="s">
        <v>781</v>
      </c>
      <c r="AF47" s="48" t="s">
        <v>781</v>
      </c>
      <c r="AG47" s="48" t="s">
        <v>781</v>
      </c>
      <c r="AH47" s="48" t="s">
        <v>781</v>
      </c>
      <c r="AI47" s="48" t="s">
        <v>781</v>
      </c>
      <c r="AJ47" s="48" t="s">
        <v>781</v>
      </c>
      <c r="AK47" s="48" t="s">
        <v>781</v>
      </c>
      <c r="AL47" s="48" t="s">
        <v>781</v>
      </c>
      <c r="AM47" s="48" t="s">
        <v>781</v>
      </c>
      <c r="AN47" s="48" t="s">
        <v>781</v>
      </c>
      <c r="AO47" s="48" t="s">
        <v>781</v>
      </c>
      <c r="AP47" s="48" t="s">
        <v>781</v>
      </c>
    </row>
    <row r="48" spans="1:42" ht="24.95" customHeight="1" x14ac:dyDescent="0.25">
      <c r="A48" s="48">
        <v>46</v>
      </c>
      <c r="B48" s="48" t="s">
        <v>212</v>
      </c>
      <c r="C48" s="48" t="s">
        <v>213</v>
      </c>
      <c r="D48" s="59" t="s">
        <v>522</v>
      </c>
      <c r="E48" s="48" t="s">
        <v>781</v>
      </c>
      <c r="F48" s="48" t="s">
        <v>781</v>
      </c>
      <c r="G48" s="48" t="s">
        <v>781</v>
      </c>
      <c r="H48" s="48" t="s">
        <v>781</v>
      </c>
      <c r="I48" s="48" t="s">
        <v>781</v>
      </c>
      <c r="J48" s="48" t="s">
        <v>781</v>
      </c>
      <c r="K48" s="48" t="s">
        <v>781</v>
      </c>
      <c r="L48" s="48" t="s">
        <v>781</v>
      </c>
      <c r="M48" s="48" t="s">
        <v>781</v>
      </c>
      <c r="N48" s="48" t="s">
        <v>781</v>
      </c>
      <c r="O48" s="48" t="s">
        <v>781</v>
      </c>
      <c r="P48" s="48" t="s">
        <v>781</v>
      </c>
      <c r="Q48" s="48" t="s">
        <v>781</v>
      </c>
      <c r="R48" s="48" t="s">
        <v>781</v>
      </c>
      <c r="S48" s="48" t="s">
        <v>781</v>
      </c>
      <c r="T48" s="48" t="s">
        <v>781</v>
      </c>
      <c r="U48" s="48" t="s">
        <v>781</v>
      </c>
      <c r="V48" s="48" t="s">
        <v>781</v>
      </c>
      <c r="W48" s="48" t="s">
        <v>781</v>
      </c>
      <c r="X48" s="48" t="s">
        <v>781</v>
      </c>
      <c r="Y48" s="48" t="s">
        <v>781</v>
      </c>
      <c r="Z48" s="48" t="s">
        <v>781</v>
      </c>
      <c r="AA48" s="48" t="s">
        <v>781</v>
      </c>
      <c r="AB48" s="48" t="s">
        <v>781</v>
      </c>
      <c r="AC48" s="48" t="s">
        <v>781</v>
      </c>
      <c r="AD48" s="48" t="s">
        <v>781</v>
      </c>
      <c r="AE48" s="48" t="s">
        <v>781</v>
      </c>
      <c r="AF48" s="48" t="s">
        <v>781</v>
      </c>
      <c r="AG48" s="48" t="s">
        <v>781</v>
      </c>
      <c r="AH48" s="48" t="s">
        <v>781</v>
      </c>
      <c r="AI48" s="48" t="s">
        <v>781</v>
      </c>
      <c r="AJ48" s="48" t="s">
        <v>781</v>
      </c>
      <c r="AK48" s="48" t="s">
        <v>781</v>
      </c>
      <c r="AL48" s="48" t="s">
        <v>781</v>
      </c>
      <c r="AM48" s="48" t="s">
        <v>781</v>
      </c>
      <c r="AN48" s="48" t="s">
        <v>781</v>
      </c>
      <c r="AO48" s="48" t="s">
        <v>781</v>
      </c>
      <c r="AP48" s="48" t="s">
        <v>781</v>
      </c>
    </row>
    <row r="49" spans="1:42" ht="24.95" customHeight="1" x14ac:dyDescent="0.25">
      <c r="A49" s="7">
        <v>47</v>
      </c>
      <c r="B49" s="7" t="s">
        <v>214</v>
      </c>
      <c r="C49" s="7" t="s">
        <v>215</v>
      </c>
      <c r="D49" s="6" t="s">
        <v>523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24.95" customHeight="1" thickBot="1" x14ac:dyDescent="0.3">
      <c r="A50" s="9">
        <v>48</v>
      </c>
      <c r="B50" s="9" t="s">
        <v>216</v>
      </c>
      <c r="C50" s="9" t="s">
        <v>217</v>
      </c>
      <c r="D50" s="6" t="s">
        <v>524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5.75" thickTop="1" x14ac:dyDescent="0.25"/>
  </sheetData>
  <mergeCells count="1">
    <mergeCell ref="A1:AP1"/>
  </mergeCells>
  <phoneticPr fontId="29" type="noConversion"/>
  <pageMargins left="0.31496062992125984" right="0.11811023622047245" top="0.15748031496062992" bottom="0.15748031496062992" header="0.31496062992125984" footer="0.31496062992125984"/>
  <pageSetup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U51"/>
  <sheetViews>
    <sheetView topLeftCell="A2" zoomScaleNormal="100" workbookViewId="0">
      <pane ySplit="1" topLeftCell="A25" activePane="bottomLeft" state="frozen"/>
      <selection activeCell="D2" sqref="D2"/>
      <selection pane="bottomLeft" activeCell="I52" sqref="I52"/>
    </sheetView>
  </sheetViews>
  <sheetFormatPr defaultRowHeight="15" x14ac:dyDescent="0.25"/>
  <cols>
    <col min="1" max="1" width="4.140625" customWidth="1"/>
    <col min="2" max="2" width="35.85546875" customWidth="1"/>
    <col min="3" max="4" width="17.85546875" customWidth="1"/>
    <col min="5" max="5" width="13.140625" customWidth="1"/>
    <col min="6" max="6" width="15.28515625" customWidth="1"/>
    <col min="7" max="7" width="39.85546875" customWidth="1"/>
    <col min="8" max="8" width="15.140625" customWidth="1"/>
    <col min="9" max="9" width="22.7109375" customWidth="1"/>
    <col min="10" max="10" width="14.28515625" customWidth="1"/>
    <col min="11" max="11" width="13.28515625" customWidth="1"/>
    <col min="12" max="14" width="8.5703125" customWidth="1"/>
    <col min="15" max="15" width="10.85546875" customWidth="1"/>
    <col min="16" max="16" width="8.5703125" customWidth="1"/>
    <col min="17" max="17" width="16.28515625" customWidth="1"/>
    <col min="18" max="18" width="11.85546875" customWidth="1"/>
    <col min="19" max="20" width="8.5703125" customWidth="1"/>
    <col min="21" max="21" width="17.85546875" customWidth="1"/>
    <col min="22" max="29" width="7.5703125" customWidth="1"/>
  </cols>
  <sheetData>
    <row r="1" spans="1:21" ht="24.75" thickTop="1" thickBot="1" x14ac:dyDescent="0.4">
      <c r="A1" s="77" t="s">
        <v>50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ht="197.25" customHeight="1" thickTop="1" thickBot="1" x14ac:dyDescent="0.3">
      <c r="A2" s="15" t="s">
        <v>218</v>
      </c>
      <c r="B2" s="14" t="s">
        <v>120</v>
      </c>
      <c r="C2" s="14" t="s">
        <v>121</v>
      </c>
      <c r="D2" s="14" t="s">
        <v>297</v>
      </c>
      <c r="E2" s="16" t="s">
        <v>3</v>
      </c>
      <c r="F2" s="16" t="s">
        <v>48</v>
      </c>
      <c r="G2" s="16" t="s">
        <v>61</v>
      </c>
      <c r="H2" s="16" t="s">
        <v>2</v>
      </c>
      <c r="I2" s="16" t="s">
        <v>8</v>
      </c>
      <c r="J2" s="14" t="s">
        <v>6</v>
      </c>
      <c r="K2" s="14" t="s">
        <v>60</v>
      </c>
      <c r="L2" s="14" t="s">
        <v>59</v>
      </c>
      <c r="M2" s="14" t="s">
        <v>58</v>
      </c>
      <c r="N2" s="14" t="s">
        <v>57</v>
      </c>
      <c r="O2" s="14" t="s">
        <v>56</v>
      </c>
      <c r="P2" s="14" t="s">
        <v>55</v>
      </c>
      <c r="Q2" s="14" t="s">
        <v>54</v>
      </c>
      <c r="R2" s="14" t="s">
        <v>53</v>
      </c>
      <c r="S2" s="14" t="s">
        <v>52</v>
      </c>
      <c r="T2" s="14" t="s">
        <v>51</v>
      </c>
      <c r="U2" s="14" t="s">
        <v>49</v>
      </c>
    </row>
    <row r="3" spans="1:21" ht="17.25" customHeight="1" thickTop="1" x14ac:dyDescent="0.25">
      <c r="A3" s="32">
        <v>1</v>
      </c>
      <c r="B3" s="32" t="s">
        <v>122</v>
      </c>
      <c r="C3" s="32" t="s">
        <v>123</v>
      </c>
      <c r="D3" s="32" t="s">
        <v>303</v>
      </c>
      <c r="E3" s="32" t="s">
        <v>540</v>
      </c>
      <c r="F3" s="32" t="s">
        <v>390</v>
      </c>
      <c r="G3" s="32" t="s">
        <v>407</v>
      </c>
      <c r="H3" s="32" t="s">
        <v>254</v>
      </c>
      <c r="I3" s="32" t="s">
        <v>408</v>
      </c>
      <c r="J3" s="32" t="s">
        <v>400</v>
      </c>
      <c r="K3" s="32" t="s">
        <v>409</v>
      </c>
      <c r="L3" s="32" t="s">
        <v>234</v>
      </c>
      <c r="M3" s="32">
        <v>126</v>
      </c>
      <c r="N3" s="32">
        <v>73</v>
      </c>
      <c r="O3" s="32">
        <v>1.2</v>
      </c>
      <c r="P3" s="32">
        <v>90</v>
      </c>
      <c r="Q3" s="32" t="s">
        <v>410</v>
      </c>
      <c r="R3" s="32" t="s">
        <v>410</v>
      </c>
      <c r="S3" s="32" t="s">
        <v>328</v>
      </c>
      <c r="T3" s="32" t="s">
        <v>234</v>
      </c>
      <c r="U3" s="32" t="s">
        <v>403</v>
      </c>
    </row>
    <row r="4" spans="1:21" x14ac:dyDescent="0.25">
      <c r="A4" s="17">
        <v>2</v>
      </c>
      <c r="B4" s="17" t="s">
        <v>124</v>
      </c>
      <c r="C4" s="17" t="s">
        <v>125</v>
      </c>
      <c r="D4" s="32" t="s">
        <v>305</v>
      </c>
      <c r="E4" s="17"/>
      <c r="F4" s="17"/>
      <c r="G4" s="17"/>
      <c r="H4" s="17" t="s">
        <v>254</v>
      </c>
      <c r="I4" s="30" t="s">
        <v>259</v>
      </c>
      <c r="J4" s="17" t="s">
        <v>255</v>
      </c>
      <c r="K4" s="17" t="s">
        <v>256</v>
      </c>
      <c r="L4" s="17" t="s">
        <v>266</v>
      </c>
      <c r="M4" s="17" t="s">
        <v>257</v>
      </c>
      <c r="N4" s="17" t="s">
        <v>258</v>
      </c>
      <c r="O4" s="17" t="s">
        <v>265</v>
      </c>
      <c r="P4" s="17">
        <v>92</v>
      </c>
      <c r="Q4" s="17" t="s">
        <v>260</v>
      </c>
      <c r="R4" s="17" t="s">
        <v>261</v>
      </c>
      <c r="S4" s="17" t="s">
        <v>262</v>
      </c>
      <c r="T4" s="17" t="s">
        <v>262</v>
      </c>
      <c r="U4" s="17" t="s">
        <v>264</v>
      </c>
    </row>
    <row r="5" spans="1:21" x14ac:dyDescent="0.25">
      <c r="A5" s="17">
        <v>3</v>
      </c>
      <c r="B5" s="17" t="s">
        <v>126</v>
      </c>
      <c r="C5" s="17" t="s">
        <v>127</v>
      </c>
      <c r="D5" s="32" t="s">
        <v>306</v>
      </c>
      <c r="E5" s="33"/>
      <c r="F5" s="33"/>
      <c r="G5" s="33"/>
      <c r="H5" s="33" t="s">
        <v>254</v>
      </c>
      <c r="I5" s="30" t="s">
        <v>259</v>
      </c>
      <c r="J5" s="33" t="s">
        <v>255</v>
      </c>
      <c r="K5" s="33" t="s">
        <v>256</v>
      </c>
      <c r="L5" s="33" t="s">
        <v>266</v>
      </c>
      <c r="M5" s="33" t="s">
        <v>257</v>
      </c>
      <c r="N5" s="33" t="s">
        <v>258</v>
      </c>
      <c r="O5" s="33" t="s">
        <v>265</v>
      </c>
      <c r="P5" s="33">
        <v>92</v>
      </c>
      <c r="Q5" s="33" t="s">
        <v>260</v>
      </c>
      <c r="R5" s="33" t="s">
        <v>261</v>
      </c>
      <c r="S5" s="33" t="s">
        <v>262</v>
      </c>
      <c r="T5" s="33" t="s">
        <v>262</v>
      </c>
      <c r="U5" s="33" t="s">
        <v>264</v>
      </c>
    </row>
    <row r="6" spans="1:21" x14ac:dyDescent="0.25">
      <c r="A6" s="17">
        <v>4</v>
      </c>
      <c r="B6" s="17" t="s">
        <v>128</v>
      </c>
      <c r="C6" s="17" t="s">
        <v>129</v>
      </c>
      <c r="D6" s="32" t="s">
        <v>307</v>
      </c>
      <c r="E6" s="32" t="s">
        <v>581</v>
      </c>
      <c r="F6" s="32" t="s">
        <v>582</v>
      </c>
      <c r="G6" s="32" t="s">
        <v>588</v>
      </c>
      <c r="H6" s="32" t="s">
        <v>589</v>
      </c>
      <c r="I6" s="32" t="s">
        <v>542</v>
      </c>
      <c r="J6" s="32" t="s">
        <v>590</v>
      </c>
      <c r="K6" s="32" t="s">
        <v>591</v>
      </c>
      <c r="L6" s="32" t="s">
        <v>234</v>
      </c>
      <c r="M6" s="32">
        <v>127</v>
      </c>
      <c r="N6" s="32">
        <v>88</v>
      </c>
      <c r="O6" s="32" t="s">
        <v>593</v>
      </c>
      <c r="P6" s="32">
        <v>82</v>
      </c>
      <c r="Q6" s="32" t="s">
        <v>595</v>
      </c>
      <c r="R6" s="32" t="s">
        <v>592</v>
      </c>
      <c r="S6" s="32" t="s">
        <v>586</v>
      </c>
      <c r="T6" s="32" t="s">
        <v>586</v>
      </c>
      <c r="U6" s="32" t="s">
        <v>594</v>
      </c>
    </row>
    <row r="7" spans="1:21" x14ac:dyDescent="0.25">
      <c r="A7" s="17">
        <v>5</v>
      </c>
      <c r="B7" s="17" t="s">
        <v>130</v>
      </c>
      <c r="C7" s="17" t="s">
        <v>131</v>
      </c>
      <c r="D7" s="32" t="s">
        <v>308</v>
      </c>
      <c r="E7" s="32" t="s">
        <v>581</v>
      </c>
      <c r="F7" s="32" t="s">
        <v>582</v>
      </c>
      <c r="G7" s="32" t="s">
        <v>588</v>
      </c>
      <c r="H7" s="32" t="s">
        <v>589</v>
      </c>
      <c r="I7" s="32" t="s">
        <v>542</v>
      </c>
      <c r="J7" s="32" t="s">
        <v>590</v>
      </c>
      <c r="K7" s="32" t="s">
        <v>591</v>
      </c>
      <c r="L7" s="32" t="s">
        <v>234</v>
      </c>
      <c r="M7" s="32">
        <v>127</v>
      </c>
      <c r="N7" s="32">
        <v>88</v>
      </c>
      <c r="O7" s="32" t="s">
        <v>593</v>
      </c>
      <c r="P7" s="32">
        <v>82</v>
      </c>
      <c r="Q7" s="32" t="s">
        <v>595</v>
      </c>
      <c r="R7" s="32" t="s">
        <v>592</v>
      </c>
      <c r="S7" s="32" t="s">
        <v>586</v>
      </c>
      <c r="T7" s="32" t="s">
        <v>586</v>
      </c>
      <c r="U7" s="32" t="s">
        <v>594</v>
      </c>
    </row>
    <row r="8" spans="1:21" x14ac:dyDescent="0.25">
      <c r="A8" s="17">
        <v>6</v>
      </c>
      <c r="B8" s="17" t="s">
        <v>132</v>
      </c>
      <c r="C8" s="17" t="s">
        <v>133</v>
      </c>
      <c r="D8" s="32" t="s">
        <v>309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x14ac:dyDescent="0.25">
      <c r="A9" s="34">
        <v>7</v>
      </c>
      <c r="B9" s="34" t="s">
        <v>134</v>
      </c>
      <c r="C9" s="34" t="s">
        <v>135</v>
      </c>
      <c r="D9" s="32" t="s">
        <v>310</v>
      </c>
      <c r="E9" s="32" t="s">
        <v>581</v>
      </c>
      <c r="F9" s="32" t="s">
        <v>582</v>
      </c>
      <c r="G9" s="32" t="s">
        <v>583</v>
      </c>
      <c r="H9" s="32" t="s">
        <v>584</v>
      </c>
      <c r="I9" s="32" t="s">
        <v>542</v>
      </c>
      <c r="J9" s="55">
        <v>1.2</v>
      </c>
      <c r="K9" s="32" t="s">
        <v>596</v>
      </c>
      <c r="L9" s="32" t="s">
        <v>585</v>
      </c>
      <c r="M9" s="32">
        <v>1.55</v>
      </c>
      <c r="N9" s="32">
        <v>1</v>
      </c>
      <c r="O9" s="32">
        <v>1</v>
      </c>
      <c r="P9" s="32">
        <v>1</v>
      </c>
      <c r="Q9" s="32">
        <v>1.41</v>
      </c>
      <c r="R9" s="32">
        <v>1.55</v>
      </c>
      <c r="S9" s="32" t="s">
        <v>586</v>
      </c>
      <c r="T9" s="32" t="s">
        <v>586</v>
      </c>
      <c r="U9" s="32" t="s">
        <v>594</v>
      </c>
    </row>
    <row r="10" spans="1:21" x14ac:dyDescent="0.25">
      <c r="A10" s="17">
        <v>8</v>
      </c>
      <c r="B10" s="17" t="s">
        <v>136</v>
      </c>
      <c r="C10" s="17" t="s">
        <v>137</v>
      </c>
      <c r="D10" s="32" t="s">
        <v>311</v>
      </c>
      <c r="E10" s="17" t="s">
        <v>273</v>
      </c>
      <c r="F10" s="17" t="s">
        <v>286</v>
      </c>
      <c r="G10" s="17" t="s">
        <v>287</v>
      </c>
      <c r="H10" s="17" t="s">
        <v>417</v>
      </c>
      <c r="I10" s="17" t="s">
        <v>288</v>
      </c>
      <c r="J10" s="17" t="s">
        <v>289</v>
      </c>
      <c r="K10" s="17" t="s">
        <v>290</v>
      </c>
      <c r="L10" s="17" t="s">
        <v>291</v>
      </c>
      <c r="M10" s="17" t="s">
        <v>257</v>
      </c>
      <c r="N10" s="17" t="s">
        <v>258</v>
      </c>
      <c r="O10" s="17" t="s">
        <v>292</v>
      </c>
      <c r="P10" s="17">
        <v>55</v>
      </c>
      <c r="Q10" s="17" t="s">
        <v>293</v>
      </c>
      <c r="R10" s="17" t="s">
        <v>294</v>
      </c>
      <c r="S10" s="17" t="s">
        <v>295</v>
      </c>
      <c r="T10" s="17" t="s">
        <v>295</v>
      </c>
      <c r="U10" s="17" t="s">
        <v>264</v>
      </c>
    </row>
    <row r="11" spans="1:21" x14ac:dyDescent="0.25">
      <c r="A11" s="17">
        <v>9</v>
      </c>
      <c r="B11" s="17" t="s">
        <v>138</v>
      </c>
      <c r="C11" s="17" t="s">
        <v>139</v>
      </c>
      <c r="D11" s="32" t="s">
        <v>312</v>
      </c>
      <c r="E11" s="17" t="s">
        <v>273</v>
      </c>
      <c r="F11" s="17" t="s">
        <v>286</v>
      </c>
      <c r="G11" s="17" t="s">
        <v>287</v>
      </c>
      <c r="H11" s="17" t="s">
        <v>417</v>
      </c>
      <c r="I11" s="17" t="s">
        <v>288</v>
      </c>
      <c r="J11" s="17" t="s">
        <v>289</v>
      </c>
      <c r="K11" s="17" t="s">
        <v>290</v>
      </c>
      <c r="L11" s="17" t="s">
        <v>291</v>
      </c>
      <c r="M11" s="17" t="s">
        <v>257</v>
      </c>
      <c r="N11" s="17" t="s">
        <v>258</v>
      </c>
      <c r="O11" s="17" t="s">
        <v>292</v>
      </c>
      <c r="P11" s="17">
        <v>55</v>
      </c>
      <c r="Q11" s="17" t="s">
        <v>293</v>
      </c>
      <c r="R11" s="17" t="s">
        <v>294</v>
      </c>
      <c r="S11" s="17" t="s">
        <v>295</v>
      </c>
      <c r="T11" s="17" t="s">
        <v>295</v>
      </c>
      <c r="U11" s="17" t="s">
        <v>264</v>
      </c>
    </row>
    <row r="12" spans="1:21" x14ac:dyDescent="0.25">
      <c r="A12" s="5">
        <v>10</v>
      </c>
      <c r="B12" s="5" t="s">
        <v>140</v>
      </c>
      <c r="C12" s="5" t="s">
        <v>141</v>
      </c>
      <c r="D12" s="32" t="s">
        <v>430</v>
      </c>
      <c r="E12" s="17" t="s">
        <v>273</v>
      </c>
      <c r="F12" s="17" t="s">
        <v>286</v>
      </c>
      <c r="G12" s="17" t="s">
        <v>287</v>
      </c>
      <c r="H12" s="17" t="s">
        <v>417</v>
      </c>
      <c r="I12" s="17" t="s">
        <v>288</v>
      </c>
      <c r="J12" s="17" t="s">
        <v>289</v>
      </c>
      <c r="K12" s="17" t="s">
        <v>290</v>
      </c>
      <c r="L12" s="17" t="s">
        <v>291</v>
      </c>
      <c r="M12" s="17" t="s">
        <v>257</v>
      </c>
      <c r="N12" s="17" t="s">
        <v>258</v>
      </c>
      <c r="O12" s="17" t="s">
        <v>292</v>
      </c>
      <c r="P12" s="17">
        <v>55</v>
      </c>
      <c r="Q12" s="17" t="s">
        <v>293</v>
      </c>
      <c r="R12" s="17" t="s">
        <v>294</v>
      </c>
      <c r="S12" s="17" t="s">
        <v>295</v>
      </c>
      <c r="T12" s="17" t="s">
        <v>295</v>
      </c>
      <c r="U12" s="17" t="s">
        <v>264</v>
      </c>
    </row>
    <row r="13" spans="1:21" x14ac:dyDescent="0.25">
      <c r="A13" s="7">
        <v>11</v>
      </c>
      <c r="B13" s="7" t="s">
        <v>142</v>
      </c>
      <c r="C13" s="7" t="s">
        <v>143</v>
      </c>
      <c r="D13" s="32" t="s">
        <v>544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>
        <v>12</v>
      </c>
      <c r="B14" s="7" t="s">
        <v>144</v>
      </c>
      <c r="C14" s="7" t="s">
        <v>145</v>
      </c>
      <c r="D14" s="32" t="s">
        <v>545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7">
        <v>13</v>
      </c>
      <c r="B15" s="7" t="s">
        <v>146</v>
      </c>
      <c r="C15" s="7" t="s">
        <v>147</v>
      </c>
      <c r="D15" s="32" t="s">
        <v>546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7">
        <v>14</v>
      </c>
      <c r="B16" s="7" t="s">
        <v>148</v>
      </c>
      <c r="C16" s="7" t="s">
        <v>149</v>
      </c>
      <c r="D16" s="32" t="s">
        <v>547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>
        <v>15</v>
      </c>
      <c r="B17" s="7" t="s">
        <v>150</v>
      </c>
      <c r="C17" s="7" t="s">
        <v>151</v>
      </c>
      <c r="D17" s="32" t="s">
        <v>548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48">
        <v>16</v>
      </c>
      <c r="B18" s="48" t="s">
        <v>152</v>
      </c>
      <c r="C18" s="48" t="s">
        <v>153</v>
      </c>
      <c r="D18" s="60" t="s">
        <v>549</v>
      </c>
      <c r="E18" s="48" t="s">
        <v>801</v>
      </c>
      <c r="F18" s="48" t="s">
        <v>390</v>
      </c>
      <c r="G18" s="48" t="s">
        <v>802</v>
      </c>
      <c r="H18" s="48" t="s">
        <v>254</v>
      </c>
      <c r="I18" s="48" t="s">
        <v>542</v>
      </c>
      <c r="J18" s="48">
        <v>110</v>
      </c>
      <c r="K18" s="48">
        <v>90</v>
      </c>
      <c r="L18" s="48"/>
      <c r="M18" s="48">
        <v>120</v>
      </c>
      <c r="N18" s="48">
        <f t="shared" ref="N18" si="0">O18*P18</f>
        <v>92</v>
      </c>
      <c r="O18" s="48">
        <v>1</v>
      </c>
      <c r="P18" s="48">
        <v>92</v>
      </c>
      <c r="Q18" s="48">
        <v>1.2</v>
      </c>
      <c r="R18" s="48"/>
      <c r="S18" s="48">
        <f t="shared" ref="S18" si="1">0.02*K18</f>
        <v>1.8</v>
      </c>
      <c r="T18" s="48">
        <f t="shared" ref="T18" si="2">K18*0.2</f>
        <v>18</v>
      </c>
      <c r="U18" s="48" t="s">
        <v>803</v>
      </c>
    </row>
    <row r="19" spans="1:21" x14ac:dyDescent="0.25">
      <c r="A19" s="7">
        <v>17</v>
      </c>
      <c r="B19" s="7" t="s">
        <v>154</v>
      </c>
      <c r="C19" s="7" t="s">
        <v>155</v>
      </c>
      <c r="D19" s="32" t="s">
        <v>446</v>
      </c>
      <c r="E19" s="17" t="s">
        <v>273</v>
      </c>
      <c r="F19" s="17" t="s">
        <v>286</v>
      </c>
      <c r="G19" s="17" t="s">
        <v>287</v>
      </c>
      <c r="H19" s="17" t="s">
        <v>417</v>
      </c>
      <c r="I19" s="17" t="s">
        <v>288</v>
      </c>
      <c r="J19" s="17" t="s">
        <v>289</v>
      </c>
      <c r="K19" s="17" t="s">
        <v>290</v>
      </c>
      <c r="L19" s="17" t="s">
        <v>291</v>
      </c>
      <c r="M19" s="17" t="s">
        <v>257</v>
      </c>
      <c r="N19" s="17" t="s">
        <v>258</v>
      </c>
      <c r="O19" s="17" t="s">
        <v>292</v>
      </c>
      <c r="P19" s="17">
        <v>55</v>
      </c>
      <c r="Q19" s="17" t="s">
        <v>293</v>
      </c>
      <c r="R19" s="17" t="s">
        <v>294</v>
      </c>
      <c r="S19" s="17" t="s">
        <v>295</v>
      </c>
      <c r="T19" s="17" t="s">
        <v>295</v>
      </c>
      <c r="U19" s="17" t="s">
        <v>264</v>
      </c>
    </row>
    <row r="20" spans="1:21" ht="15.75" x14ac:dyDescent="0.25">
      <c r="A20" s="7">
        <v>18</v>
      </c>
      <c r="B20" s="7" t="s">
        <v>156</v>
      </c>
      <c r="C20" s="7" t="s">
        <v>157</v>
      </c>
      <c r="D20" s="32" t="s">
        <v>550</v>
      </c>
      <c r="E20" s="17" t="s">
        <v>597</v>
      </c>
      <c r="F20" s="17" t="s">
        <v>598</v>
      </c>
      <c r="G20" s="17" t="s">
        <v>599</v>
      </c>
      <c r="H20" s="17" t="s">
        <v>254</v>
      </c>
      <c r="I20" s="17" t="s">
        <v>606</v>
      </c>
      <c r="J20" s="17" t="s">
        <v>600</v>
      </c>
      <c r="K20" s="17" t="s">
        <v>601</v>
      </c>
      <c r="L20" s="17">
        <v>4</v>
      </c>
      <c r="M20" s="17" t="s">
        <v>602</v>
      </c>
      <c r="N20" s="17" t="s">
        <v>593</v>
      </c>
      <c r="O20" s="17" t="s">
        <v>593</v>
      </c>
      <c r="P20" s="17">
        <v>92</v>
      </c>
      <c r="Q20" s="17">
        <v>1.4</v>
      </c>
      <c r="R20" s="17" t="s">
        <v>592</v>
      </c>
      <c r="S20" s="17" t="s">
        <v>603</v>
      </c>
      <c r="T20" s="17" t="s">
        <v>604</v>
      </c>
      <c r="U20" s="17" t="s">
        <v>605</v>
      </c>
    </row>
    <row r="21" spans="1:21" x14ac:dyDescent="0.25">
      <c r="A21" s="7">
        <v>19</v>
      </c>
      <c r="B21" s="7" t="s">
        <v>158</v>
      </c>
      <c r="C21" s="7" t="s">
        <v>159</v>
      </c>
      <c r="D21" s="32" t="s">
        <v>551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25">
      <c r="A22" s="7">
        <v>20</v>
      </c>
      <c r="B22" s="7" t="s">
        <v>160</v>
      </c>
      <c r="C22" s="7" t="s">
        <v>161</v>
      </c>
      <c r="D22" s="32" t="s">
        <v>552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>
        <v>21</v>
      </c>
      <c r="B23" s="7" t="s">
        <v>162</v>
      </c>
      <c r="C23" s="7" t="s">
        <v>163</v>
      </c>
      <c r="D23" s="32" t="s">
        <v>553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>
        <v>22</v>
      </c>
      <c r="B24" s="7" t="s">
        <v>164</v>
      </c>
      <c r="C24" s="7" t="s">
        <v>165</v>
      </c>
      <c r="D24" s="32" t="s">
        <v>554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>
        <v>23</v>
      </c>
      <c r="B25" s="7" t="s">
        <v>166</v>
      </c>
      <c r="C25" s="7" t="s">
        <v>167</v>
      </c>
      <c r="D25" s="32" t="s">
        <v>555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>
        <v>24</v>
      </c>
      <c r="B26" s="7" t="s">
        <v>168</v>
      </c>
      <c r="C26" s="7" t="s">
        <v>169</v>
      </c>
      <c r="D26" s="32" t="s">
        <v>556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8">
        <v>25</v>
      </c>
      <c r="B27" s="7" t="s">
        <v>170</v>
      </c>
      <c r="C27" s="7" t="s">
        <v>171</v>
      </c>
      <c r="D27" s="32" t="s">
        <v>557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25">
      <c r="A28" s="8">
        <v>26</v>
      </c>
      <c r="B28" s="7" t="s">
        <v>172</v>
      </c>
      <c r="C28" s="7" t="s">
        <v>173</v>
      </c>
      <c r="D28" s="32" t="s">
        <v>558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7">
        <v>27</v>
      </c>
      <c r="B29" s="7" t="s">
        <v>174</v>
      </c>
      <c r="C29" s="7" t="s">
        <v>175</v>
      </c>
      <c r="D29" s="32" t="s">
        <v>559</v>
      </c>
      <c r="E29" s="32" t="s">
        <v>581</v>
      </c>
      <c r="F29" s="32" t="s">
        <v>582</v>
      </c>
      <c r="G29" s="32" t="s">
        <v>583</v>
      </c>
      <c r="H29" s="32" t="s">
        <v>584</v>
      </c>
      <c r="I29" s="32" t="s">
        <v>542</v>
      </c>
      <c r="J29" s="32">
        <v>1.2</v>
      </c>
      <c r="K29" s="32">
        <v>600</v>
      </c>
      <c r="L29" s="32" t="s">
        <v>585</v>
      </c>
      <c r="M29" s="32">
        <v>1.55</v>
      </c>
      <c r="N29" s="32">
        <v>1</v>
      </c>
      <c r="O29" s="32">
        <v>1</v>
      </c>
      <c r="P29" s="32">
        <v>1</v>
      </c>
      <c r="Q29" s="32">
        <v>1.41</v>
      </c>
      <c r="R29" s="32">
        <v>1.55</v>
      </c>
      <c r="S29" s="32" t="s">
        <v>586</v>
      </c>
      <c r="T29" s="32" t="s">
        <v>586</v>
      </c>
      <c r="U29" s="32" t="s">
        <v>594</v>
      </c>
    </row>
    <row r="30" spans="1:21" x14ac:dyDescent="0.25">
      <c r="A30" s="7">
        <v>28</v>
      </c>
      <c r="B30" s="7" t="s">
        <v>176</v>
      </c>
      <c r="C30" s="7" t="s">
        <v>177</v>
      </c>
      <c r="D30" s="32" t="s">
        <v>560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7">
        <v>29</v>
      </c>
      <c r="B31" s="7" t="s">
        <v>178</v>
      </c>
      <c r="C31" s="7" t="s">
        <v>179</v>
      </c>
      <c r="D31" s="32" t="s">
        <v>561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A32" s="7">
        <v>30</v>
      </c>
      <c r="B32" s="7" t="s">
        <v>180</v>
      </c>
      <c r="C32" s="7" t="s">
        <v>181</v>
      </c>
      <c r="D32" s="32" t="s">
        <v>562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7">
        <v>31</v>
      </c>
      <c r="B33" s="7" t="s">
        <v>182</v>
      </c>
      <c r="C33" s="7" t="s">
        <v>183</v>
      </c>
      <c r="D33" s="32" t="s">
        <v>563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25">
      <c r="A34" s="7">
        <v>32</v>
      </c>
      <c r="B34" s="7" t="s">
        <v>184</v>
      </c>
      <c r="C34" s="7" t="s">
        <v>185</v>
      </c>
      <c r="D34" s="32" t="s">
        <v>564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7">
        <v>33</v>
      </c>
      <c r="B35" s="7" t="s">
        <v>186</v>
      </c>
      <c r="C35" s="7" t="s">
        <v>187</v>
      </c>
      <c r="D35" s="32" t="s">
        <v>565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25">
      <c r="A36" s="7">
        <v>34</v>
      </c>
      <c r="B36" s="7" t="s">
        <v>188</v>
      </c>
      <c r="C36" s="7" t="s">
        <v>189</v>
      </c>
      <c r="D36" s="32" t="s">
        <v>566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7">
        <v>35</v>
      </c>
      <c r="B37" s="7" t="s">
        <v>190</v>
      </c>
      <c r="C37" s="7" t="s">
        <v>191</v>
      </c>
      <c r="D37" s="32" t="s">
        <v>567</v>
      </c>
      <c r="E37" s="32" t="s">
        <v>540</v>
      </c>
      <c r="F37" s="32" t="s">
        <v>390</v>
      </c>
      <c r="G37" s="32" t="s">
        <v>541</v>
      </c>
      <c r="H37" s="32" t="s">
        <v>254</v>
      </c>
      <c r="I37" s="32" t="s">
        <v>542</v>
      </c>
      <c r="J37" s="32" t="s">
        <v>400</v>
      </c>
      <c r="K37" s="32" t="s">
        <v>543</v>
      </c>
      <c r="L37" s="32" t="s">
        <v>234</v>
      </c>
      <c r="M37" s="32">
        <v>126</v>
      </c>
      <c r="N37" s="32">
        <v>73</v>
      </c>
      <c r="O37" s="32">
        <v>1.2</v>
      </c>
      <c r="P37" s="32">
        <v>90</v>
      </c>
      <c r="Q37" s="32" t="s">
        <v>410</v>
      </c>
      <c r="R37" s="32" t="s">
        <v>410</v>
      </c>
      <c r="S37" s="32" t="s">
        <v>328</v>
      </c>
      <c r="T37" s="32" t="s">
        <v>234</v>
      </c>
      <c r="U37" s="32" t="s">
        <v>403</v>
      </c>
    </row>
    <row r="38" spans="1:21" x14ac:dyDescent="0.25">
      <c r="A38" s="7">
        <v>36</v>
      </c>
      <c r="B38" s="7" t="s">
        <v>192</v>
      </c>
      <c r="C38" s="7" t="s">
        <v>193</v>
      </c>
      <c r="D38" s="32" t="s">
        <v>568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7">
        <v>37</v>
      </c>
      <c r="B39" s="7" t="s">
        <v>194</v>
      </c>
      <c r="C39" s="7" t="s">
        <v>195</v>
      </c>
      <c r="D39" s="32" t="s">
        <v>569</v>
      </c>
      <c r="E39" s="32" t="s">
        <v>581</v>
      </c>
      <c r="F39" s="32" t="s">
        <v>582</v>
      </c>
      <c r="G39" s="32" t="s">
        <v>583</v>
      </c>
      <c r="H39" s="32" t="s">
        <v>584</v>
      </c>
      <c r="I39" s="32" t="s">
        <v>542</v>
      </c>
      <c r="J39" s="32">
        <v>1.2</v>
      </c>
      <c r="K39" s="32">
        <v>600</v>
      </c>
      <c r="L39" s="32" t="s">
        <v>585</v>
      </c>
      <c r="M39" s="32">
        <v>1.55</v>
      </c>
      <c r="N39" s="32">
        <v>1</v>
      </c>
      <c r="O39" s="32">
        <v>1</v>
      </c>
      <c r="P39" s="32">
        <v>82</v>
      </c>
      <c r="Q39" s="32">
        <v>1.41</v>
      </c>
      <c r="R39" s="32">
        <v>1.55</v>
      </c>
      <c r="S39" s="32" t="s">
        <v>328</v>
      </c>
      <c r="T39" s="32" t="s">
        <v>234</v>
      </c>
      <c r="U39" s="32" t="s">
        <v>587</v>
      </c>
    </row>
    <row r="40" spans="1:21" x14ac:dyDescent="0.25">
      <c r="A40" s="7">
        <v>38</v>
      </c>
      <c r="B40" s="7" t="s">
        <v>196</v>
      </c>
      <c r="C40" s="7" t="s">
        <v>197</v>
      </c>
      <c r="D40" s="32" t="s">
        <v>570</v>
      </c>
      <c r="E40" s="32" t="s">
        <v>581</v>
      </c>
      <c r="F40" s="32" t="s">
        <v>582</v>
      </c>
      <c r="G40" s="32" t="s">
        <v>768</v>
      </c>
      <c r="H40" s="32" t="s">
        <v>254</v>
      </c>
      <c r="I40" s="32" t="s">
        <v>542</v>
      </c>
      <c r="J40" s="32">
        <v>110</v>
      </c>
      <c r="K40" s="32">
        <v>300</v>
      </c>
      <c r="L40" s="32"/>
      <c r="M40" s="32">
        <f t="shared" ref="M40" si="3">R40*P40</f>
        <v>142.6</v>
      </c>
      <c r="N40" s="32">
        <f t="shared" ref="N40" si="4">O40*P40</f>
        <v>92</v>
      </c>
      <c r="O40" s="32">
        <v>1</v>
      </c>
      <c r="P40" s="32">
        <v>92</v>
      </c>
      <c r="Q40" s="32">
        <v>1.41</v>
      </c>
      <c r="R40" s="32">
        <v>1.55</v>
      </c>
      <c r="S40" s="32">
        <f t="shared" ref="S40" si="5">0.02*K40</f>
        <v>6</v>
      </c>
      <c r="T40" s="32">
        <f t="shared" ref="T40" si="6">K40*0.2</f>
        <v>60</v>
      </c>
      <c r="U40" s="32" t="s">
        <v>587</v>
      </c>
    </row>
    <row r="41" spans="1:21" x14ac:dyDescent="0.25">
      <c r="A41" s="7">
        <v>39</v>
      </c>
      <c r="B41" s="7" t="s">
        <v>198</v>
      </c>
      <c r="C41" s="7" t="s">
        <v>199</v>
      </c>
      <c r="D41" s="32" t="s">
        <v>571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5">
      <c r="A42" s="7">
        <v>40</v>
      </c>
      <c r="B42" s="7" t="s">
        <v>200</v>
      </c>
      <c r="C42" s="7" t="s">
        <v>201</v>
      </c>
      <c r="D42" s="32" t="s">
        <v>572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7">
        <v>41</v>
      </c>
      <c r="B43" s="7" t="s">
        <v>202</v>
      </c>
      <c r="C43" s="7" t="s">
        <v>203</v>
      </c>
      <c r="D43" s="32" t="s">
        <v>573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25">
      <c r="A44" s="7">
        <v>42</v>
      </c>
      <c r="B44" s="7" t="s">
        <v>204</v>
      </c>
      <c r="C44" s="7" t="s">
        <v>205</v>
      </c>
      <c r="D44" s="32" t="s">
        <v>574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25">
      <c r="A45" s="48">
        <v>43</v>
      </c>
      <c r="B45" s="48" t="s">
        <v>206</v>
      </c>
      <c r="C45" s="48" t="s">
        <v>207</v>
      </c>
      <c r="D45" s="60" t="s">
        <v>575</v>
      </c>
      <c r="E45" s="60" t="s">
        <v>735</v>
      </c>
      <c r="F45" s="60" t="s">
        <v>390</v>
      </c>
      <c r="G45" s="60" t="s">
        <v>782</v>
      </c>
      <c r="H45" s="60" t="s">
        <v>254</v>
      </c>
      <c r="I45" s="60" t="s">
        <v>542</v>
      </c>
      <c r="J45" s="60" t="s">
        <v>400</v>
      </c>
      <c r="K45" s="60" t="s">
        <v>256</v>
      </c>
      <c r="L45" s="60" t="s">
        <v>266</v>
      </c>
      <c r="M45" s="60">
        <v>126</v>
      </c>
      <c r="N45" s="60">
        <v>73</v>
      </c>
      <c r="O45" s="60">
        <v>1.2</v>
      </c>
      <c r="P45" s="60">
        <v>90</v>
      </c>
      <c r="Q45" s="60" t="s">
        <v>410</v>
      </c>
      <c r="R45" s="60" t="s">
        <v>410</v>
      </c>
      <c r="S45" s="60" t="s">
        <v>328</v>
      </c>
      <c r="T45" s="60" t="s">
        <v>234</v>
      </c>
      <c r="U45" s="60" t="s">
        <v>403</v>
      </c>
    </row>
    <row r="46" spans="1:21" x14ac:dyDescent="0.25">
      <c r="A46" s="7">
        <v>44</v>
      </c>
      <c r="B46" s="7" t="s">
        <v>208</v>
      </c>
      <c r="C46" s="7" t="s">
        <v>209</v>
      </c>
      <c r="D46" s="32" t="s">
        <v>576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25">
      <c r="A47" s="7">
        <v>45</v>
      </c>
      <c r="B47" s="7" t="s">
        <v>210</v>
      </c>
      <c r="C47" s="7" t="s">
        <v>211</v>
      </c>
      <c r="D47" s="60" t="s">
        <v>577</v>
      </c>
      <c r="E47" s="60" t="s">
        <v>668</v>
      </c>
      <c r="F47" s="60" t="s">
        <v>486</v>
      </c>
      <c r="G47" s="60" t="s">
        <v>790</v>
      </c>
      <c r="H47" s="60" t="s">
        <v>254</v>
      </c>
      <c r="I47" s="60" t="s">
        <v>542</v>
      </c>
      <c r="J47" s="60" t="s">
        <v>400</v>
      </c>
      <c r="K47" s="60" t="s">
        <v>256</v>
      </c>
      <c r="L47" s="60" t="s">
        <v>266</v>
      </c>
      <c r="M47" s="60">
        <v>126</v>
      </c>
      <c r="N47" s="60">
        <v>73</v>
      </c>
      <c r="O47" s="60">
        <v>1.2</v>
      </c>
      <c r="P47" s="60">
        <v>90</v>
      </c>
      <c r="Q47" s="60" t="s">
        <v>410</v>
      </c>
      <c r="R47" s="60" t="s">
        <v>410</v>
      </c>
      <c r="S47" s="60" t="s">
        <v>328</v>
      </c>
      <c r="T47" s="60" t="s">
        <v>234</v>
      </c>
      <c r="U47" s="60" t="s">
        <v>403</v>
      </c>
    </row>
    <row r="48" spans="1:21" x14ac:dyDescent="0.25">
      <c r="A48" s="48">
        <v>46</v>
      </c>
      <c r="B48" s="48" t="s">
        <v>212</v>
      </c>
      <c r="C48" s="48" t="s">
        <v>213</v>
      </c>
      <c r="D48" s="60" t="s">
        <v>578</v>
      </c>
      <c r="E48" s="60" t="s">
        <v>735</v>
      </c>
      <c r="F48" s="60" t="s">
        <v>390</v>
      </c>
      <c r="G48" s="60" t="s">
        <v>782</v>
      </c>
      <c r="H48" s="60" t="s">
        <v>254</v>
      </c>
      <c r="I48" s="60" t="s">
        <v>542</v>
      </c>
      <c r="J48" s="60" t="s">
        <v>400</v>
      </c>
      <c r="K48" s="60" t="s">
        <v>256</v>
      </c>
      <c r="L48" s="60" t="s">
        <v>266</v>
      </c>
      <c r="M48" s="60">
        <v>126</v>
      </c>
      <c r="N48" s="60">
        <v>73</v>
      </c>
      <c r="O48" s="60">
        <v>1.2</v>
      </c>
      <c r="P48" s="60">
        <v>90</v>
      </c>
      <c r="Q48" s="60" t="s">
        <v>410</v>
      </c>
      <c r="R48" s="60" t="s">
        <v>410</v>
      </c>
      <c r="S48" s="60" t="s">
        <v>328</v>
      </c>
      <c r="T48" s="60" t="s">
        <v>234</v>
      </c>
      <c r="U48" s="60" t="s">
        <v>403</v>
      </c>
    </row>
    <row r="49" spans="1:21" x14ac:dyDescent="0.25">
      <c r="A49" s="7">
        <v>47</v>
      </c>
      <c r="B49" s="7" t="s">
        <v>214</v>
      </c>
      <c r="C49" s="7" t="s">
        <v>215</v>
      </c>
      <c r="D49" s="32" t="s">
        <v>579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15.75" thickBot="1" x14ac:dyDescent="0.3">
      <c r="A50" s="9">
        <v>48</v>
      </c>
      <c r="B50" s="9" t="s">
        <v>216</v>
      </c>
      <c r="C50" s="9" t="s">
        <v>217</v>
      </c>
      <c r="D50" s="32" t="s">
        <v>580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15.75" thickTop="1" x14ac:dyDescent="0.25"/>
  </sheetData>
  <mergeCells count="1">
    <mergeCell ref="A1:U1"/>
  </mergeCells>
  <phoneticPr fontId="29" type="noConversion"/>
  <pageMargins left="0.11811023622047245" right="0.11811023622047245" top="0.15748031496062992" bottom="0.15748031496062992" header="0.31496062992125984" footer="0.31496062992125984"/>
  <pageSetup scale="75" orientation="landscape" r:id="rId1"/>
  <colBreaks count="1" manualBreakCount="1">
    <brk id="25" max="4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G51"/>
  <sheetViews>
    <sheetView topLeftCell="A22" zoomScaleNormal="100" workbookViewId="0">
      <selection activeCell="E43" sqref="E43"/>
    </sheetView>
  </sheetViews>
  <sheetFormatPr defaultColWidth="8.7109375" defaultRowHeight="15" x14ac:dyDescent="0.25"/>
  <cols>
    <col min="1" max="1" width="4.85546875" customWidth="1"/>
    <col min="2" max="4" width="15" customWidth="1"/>
    <col min="5" max="5" width="34" customWidth="1"/>
    <col min="6" max="6" width="10.42578125" customWidth="1"/>
    <col min="7" max="7" width="24.7109375" customWidth="1"/>
    <col min="8" max="8" width="35" customWidth="1"/>
    <col min="9" max="9" width="23.7109375" customWidth="1"/>
    <col min="10" max="10" width="28.140625" customWidth="1"/>
    <col min="11" max="11" width="12.7109375" customWidth="1"/>
    <col min="12" max="13" width="10.5703125" customWidth="1"/>
    <col min="14" max="14" width="8.7109375" customWidth="1"/>
    <col min="15" max="15" width="16.7109375" customWidth="1"/>
    <col min="16" max="16" width="12.28515625" customWidth="1"/>
    <col min="17" max="17" width="22.5703125" customWidth="1"/>
    <col min="18" max="18" width="22.140625" customWidth="1"/>
    <col min="19" max="19" width="9.7109375" customWidth="1"/>
    <col min="20" max="20" width="9.85546875" customWidth="1"/>
    <col min="21" max="21" width="7.5703125" customWidth="1"/>
    <col min="22" max="22" width="18.85546875" customWidth="1"/>
    <col min="23" max="23" width="11.42578125" customWidth="1"/>
    <col min="24" max="24" width="11.140625" customWidth="1"/>
    <col min="25" max="25" width="7.5703125" customWidth="1"/>
    <col min="26" max="26" width="18.85546875" customWidth="1"/>
    <col min="27" max="27" width="33.5703125" customWidth="1"/>
    <col min="28" max="28" width="22" customWidth="1"/>
    <col min="29" max="29" width="7.5703125" customWidth="1"/>
    <col min="30" max="30" width="12.140625" customWidth="1"/>
    <col min="31" max="33" width="7.5703125" customWidth="1"/>
  </cols>
  <sheetData>
    <row r="1" spans="1:33" ht="27.75" customHeight="1" thickTop="1" thickBot="1" x14ac:dyDescent="0.4">
      <c r="A1" s="78" t="s">
        <v>62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80"/>
    </row>
    <row r="2" spans="1:33" ht="156.75" customHeight="1" thickTop="1" thickBot="1" x14ac:dyDescent="0.3">
      <c r="A2" s="15" t="s">
        <v>218</v>
      </c>
      <c r="B2" s="14" t="s">
        <v>120</v>
      </c>
      <c r="C2" s="14" t="s">
        <v>121</v>
      </c>
      <c r="D2" s="14" t="s">
        <v>240</v>
      </c>
      <c r="E2" s="24" t="s">
        <v>9</v>
      </c>
      <c r="F2" s="24" t="s">
        <v>10</v>
      </c>
      <c r="G2" s="24" t="s">
        <v>63</v>
      </c>
      <c r="H2" s="24" t="s">
        <v>64</v>
      </c>
      <c r="I2" s="24" t="s">
        <v>65</v>
      </c>
      <c r="J2" s="24" t="s">
        <v>11</v>
      </c>
      <c r="K2" s="24" t="s">
        <v>66</v>
      </c>
      <c r="L2" s="24" t="s">
        <v>67</v>
      </c>
      <c r="M2" s="24" t="s">
        <v>1</v>
      </c>
      <c r="N2" s="24" t="s">
        <v>68</v>
      </c>
      <c r="O2" s="24" t="s">
        <v>69</v>
      </c>
      <c r="P2" s="24" t="s">
        <v>70</v>
      </c>
      <c r="Q2" s="24" t="s">
        <v>71</v>
      </c>
      <c r="R2" s="24" t="s">
        <v>72</v>
      </c>
      <c r="S2" s="24" t="s">
        <v>73</v>
      </c>
      <c r="T2" s="24" t="s">
        <v>74</v>
      </c>
      <c r="U2" s="24" t="s">
        <v>75</v>
      </c>
      <c r="V2" s="24" t="s">
        <v>76</v>
      </c>
      <c r="W2" s="24" t="s">
        <v>77</v>
      </c>
      <c r="X2" s="24" t="s">
        <v>78</v>
      </c>
      <c r="Y2" s="24" t="s">
        <v>79</v>
      </c>
      <c r="Z2" s="24" t="s">
        <v>80</v>
      </c>
      <c r="AA2" s="24" t="s">
        <v>22</v>
      </c>
      <c r="AB2" s="24" t="s">
        <v>81</v>
      </c>
      <c r="AC2" s="24" t="s">
        <v>82</v>
      </c>
      <c r="AD2" s="24" t="s">
        <v>83</v>
      </c>
      <c r="AE2" s="24" t="s">
        <v>4</v>
      </c>
      <c r="AF2" s="24" t="s">
        <v>84</v>
      </c>
      <c r="AG2" s="24" t="s">
        <v>85</v>
      </c>
    </row>
    <row r="3" spans="1:33" ht="18" customHeight="1" thickTop="1" x14ac:dyDescent="0.25">
      <c r="A3" s="31">
        <v>1</v>
      </c>
      <c r="B3" s="31" t="s">
        <v>122</v>
      </c>
      <c r="C3" s="31" t="s">
        <v>123</v>
      </c>
      <c r="D3" s="17" t="s">
        <v>243</v>
      </c>
      <c r="E3" s="17" t="s">
        <v>540</v>
      </c>
      <c r="F3" s="17" t="s">
        <v>390</v>
      </c>
      <c r="G3" s="17" t="s">
        <v>391</v>
      </c>
      <c r="H3" s="17" t="s">
        <v>392</v>
      </c>
      <c r="I3" s="17" t="s">
        <v>275</v>
      </c>
      <c r="J3" s="17" t="s">
        <v>393</v>
      </c>
      <c r="K3" s="17"/>
      <c r="L3" s="17">
        <v>3</v>
      </c>
      <c r="M3" s="17" t="s">
        <v>394</v>
      </c>
      <c r="N3" s="17" t="s">
        <v>395</v>
      </c>
      <c r="O3" s="17">
        <v>17.3</v>
      </c>
      <c r="P3" s="17" t="s">
        <v>397</v>
      </c>
      <c r="Q3" s="17" t="s">
        <v>398</v>
      </c>
      <c r="R3" s="17" t="s">
        <v>399</v>
      </c>
      <c r="S3" s="17" t="s">
        <v>400</v>
      </c>
      <c r="T3" s="17" t="s">
        <v>401</v>
      </c>
      <c r="U3" s="17">
        <v>0.05</v>
      </c>
      <c r="V3" s="17" t="s">
        <v>402</v>
      </c>
      <c r="W3" s="17">
        <v>104.4</v>
      </c>
      <c r="X3" s="17">
        <v>128.80000000000001</v>
      </c>
      <c r="Y3" s="17"/>
      <c r="Z3" s="17" t="s">
        <v>403</v>
      </c>
      <c r="AA3" s="17" t="s">
        <v>608</v>
      </c>
      <c r="AB3" s="17" t="s">
        <v>609</v>
      </c>
      <c r="AC3" s="17">
        <v>340</v>
      </c>
      <c r="AD3" s="17" t="s">
        <v>237</v>
      </c>
      <c r="AE3" s="17" t="s">
        <v>328</v>
      </c>
      <c r="AF3" s="17"/>
      <c r="AG3" s="17" t="s">
        <v>404</v>
      </c>
    </row>
    <row r="4" spans="1:33" ht="18" customHeight="1" x14ac:dyDescent="0.25">
      <c r="A4" s="17">
        <v>2</v>
      </c>
      <c r="B4" s="17" t="s">
        <v>124</v>
      </c>
      <c r="C4" s="17" t="s">
        <v>125</v>
      </c>
      <c r="D4" s="17" t="s">
        <v>244</v>
      </c>
      <c r="E4" s="17" t="s">
        <v>413</v>
      </c>
      <c r="F4" s="17" t="s">
        <v>414</v>
      </c>
      <c r="G4" s="17" t="s">
        <v>415</v>
      </c>
      <c r="H4" s="17"/>
      <c r="I4" s="17" t="s">
        <v>275</v>
      </c>
      <c r="J4" s="17"/>
      <c r="K4" s="17"/>
      <c r="L4" s="17" t="s">
        <v>229</v>
      </c>
      <c r="M4" s="17" t="s">
        <v>394</v>
      </c>
      <c r="N4" s="17" t="s">
        <v>229</v>
      </c>
      <c r="O4" s="17"/>
      <c r="P4" s="17" t="s">
        <v>397</v>
      </c>
      <c r="Q4" s="17" t="s">
        <v>398</v>
      </c>
      <c r="R4" s="17" t="s">
        <v>399</v>
      </c>
      <c r="S4" s="17" t="s">
        <v>400</v>
      </c>
      <c r="T4" s="17" t="s">
        <v>401</v>
      </c>
      <c r="U4" s="17">
        <v>0.05</v>
      </c>
      <c r="V4" s="17" t="s">
        <v>234</v>
      </c>
      <c r="W4" s="17">
        <v>128</v>
      </c>
      <c r="X4" s="17">
        <v>145</v>
      </c>
      <c r="Y4" s="17"/>
      <c r="Z4" s="17"/>
      <c r="AA4" s="17" t="s">
        <v>405</v>
      </c>
      <c r="AB4" s="17" t="s">
        <v>236</v>
      </c>
      <c r="AC4" s="17" t="s">
        <v>416</v>
      </c>
      <c r="AD4" s="17" t="s">
        <v>237</v>
      </c>
      <c r="AE4" s="17" t="s">
        <v>328</v>
      </c>
      <c r="AF4" s="17"/>
      <c r="AG4" s="17" t="s">
        <v>404</v>
      </c>
    </row>
    <row r="5" spans="1:33" ht="18" customHeight="1" x14ac:dyDescent="0.25">
      <c r="A5" s="17">
        <v>3</v>
      </c>
      <c r="B5" s="17" t="s">
        <v>126</v>
      </c>
      <c r="C5" s="17" t="s">
        <v>127</v>
      </c>
      <c r="D5" s="17" t="s">
        <v>245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20"/>
    </row>
    <row r="6" spans="1:33" ht="18" customHeight="1" x14ac:dyDescent="0.25">
      <c r="A6" s="17">
        <v>4</v>
      </c>
      <c r="B6" s="17" t="s">
        <v>128</v>
      </c>
      <c r="C6" s="17" t="s">
        <v>129</v>
      </c>
      <c r="D6" s="17" t="s">
        <v>241</v>
      </c>
      <c r="E6" s="17" t="s">
        <v>222</v>
      </c>
      <c r="F6" s="17" t="s">
        <v>223</v>
      </c>
      <c r="G6" s="17" t="s">
        <v>224</v>
      </c>
      <c r="H6" s="17"/>
      <c r="I6" s="17" t="s">
        <v>275</v>
      </c>
      <c r="J6" s="17" t="s">
        <v>225</v>
      </c>
      <c r="K6" s="17" t="s">
        <v>239</v>
      </c>
      <c r="L6" s="17" t="s">
        <v>226</v>
      </c>
      <c r="M6" s="17" t="s">
        <v>227</v>
      </c>
      <c r="N6" s="17" t="s">
        <v>229</v>
      </c>
      <c r="O6" s="17" t="s">
        <v>228</v>
      </c>
      <c r="P6" s="17" t="s">
        <v>230</v>
      </c>
      <c r="Q6" s="17" t="s">
        <v>246</v>
      </c>
      <c r="R6" s="17"/>
      <c r="S6" s="17" t="s">
        <v>231</v>
      </c>
      <c r="T6" s="17" t="s">
        <v>232</v>
      </c>
      <c r="U6" s="17" t="s">
        <v>235</v>
      </c>
      <c r="V6" s="17" t="s">
        <v>233</v>
      </c>
      <c r="W6" s="19">
        <v>1.3899999999999999E-2</v>
      </c>
      <c r="X6" s="19">
        <v>1.4500000000000001E-2</v>
      </c>
      <c r="Y6" s="17" t="s">
        <v>263</v>
      </c>
      <c r="Z6" s="17" t="s">
        <v>238</v>
      </c>
      <c r="AA6" s="17" t="s">
        <v>252</v>
      </c>
      <c r="AB6" s="17" t="s">
        <v>236</v>
      </c>
      <c r="AC6" s="17" t="s">
        <v>284</v>
      </c>
      <c r="AD6" s="17" t="s">
        <v>237</v>
      </c>
      <c r="AE6" s="17" t="s">
        <v>234</v>
      </c>
      <c r="AF6" s="20" t="s">
        <v>251</v>
      </c>
      <c r="AG6" s="20" t="s">
        <v>251</v>
      </c>
    </row>
    <row r="7" spans="1:33" ht="18" customHeight="1" x14ac:dyDescent="0.25">
      <c r="A7" s="17">
        <v>5</v>
      </c>
      <c r="B7" s="17" t="s">
        <v>130</v>
      </c>
      <c r="C7" s="17" t="s">
        <v>131</v>
      </c>
      <c r="D7" s="17" t="s">
        <v>242</v>
      </c>
      <c r="E7" s="17" t="s">
        <v>222</v>
      </c>
      <c r="F7" s="17" t="s">
        <v>223</v>
      </c>
      <c r="G7" s="17" t="s">
        <v>224</v>
      </c>
      <c r="H7" s="17"/>
      <c r="I7" s="17" t="s">
        <v>276</v>
      </c>
      <c r="J7" s="17" t="s">
        <v>225</v>
      </c>
      <c r="K7" s="17" t="s">
        <v>239</v>
      </c>
      <c r="L7" s="17" t="s">
        <v>226</v>
      </c>
      <c r="M7" s="17" t="s">
        <v>227</v>
      </c>
      <c r="N7" s="17" t="s">
        <v>229</v>
      </c>
      <c r="O7" s="17" t="s">
        <v>228</v>
      </c>
      <c r="P7" s="17" t="s">
        <v>230</v>
      </c>
      <c r="Q7" s="17" t="s">
        <v>246</v>
      </c>
      <c r="R7" s="17"/>
      <c r="S7" s="17" t="s">
        <v>231</v>
      </c>
      <c r="T7" s="17" t="s">
        <v>232</v>
      </c>
      <c r="U7" s="17" t="s">
        <v>235</v>
      </c>
      <c r="V7" s="17" t="s">
        <v>233</v>
      </c>
      <c r="W7" s="19">
        <v>1.3899999999999999E-2</v>
      </c>
      <c r="X7" s="19">
        <v>1.4500000000000001E-2</v>
      </c>
      <c r="Y7" s="17" t="s">
        <v>263</v>
      </c>
      <c r="Z7" s="17" t="s">
        <v>238</v>
      </c>
      <c r="AA7" s="17" t="s">
        <v>252</v>
      </c>
      <c r="AB7" s="17" t="s">
        <v>236</v>
      </c>
      <c r="AC7" s="17" t="s">
        <v>284</v>
      </c>
      <c r="AD7" s="17" t="s">
        <v>237</v>
      </c>
      <c r="AE7" s="17" t="s">
        <v>234</v>
      </c>
      <c r="AF7" s="20" t="s">
        <v>251</v>
      </c>
      <c r="AG7" s="20" t="s">
        <v>251</v>
      </c>
    </row>
    <row r="8" spans="1:33" ht="18" customHeight="1" x14ac:dyDescent="0.25">
      <c r="A8" s="17">
        <v>6</v>
      </c>
      <c r="B8" s="17" t="s">
        <v>132</v>
      </c>
      <c r="C8" s="17" t="s">
        <v>133</v>
      </c>
      <c r="D8" s="17" t="s">
        <v>299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9"/>
      <c r="X8" s="19"/>
      <c r="Y8" s="17"/>
      <c r="Z8" s="17"/>
      <c r="AA8" s="17"/>
      <c r="AB8" s="17"/>
      <c r="AC8" s="17"/>
      <c r="AD8" s="17"/>
      <c r="AE8" s="17"/>
      <c r="AF8" s="20"/>
      <c r="AG8" s="20"/>
    </row>
    <row r="9" spans="1:33" ht="18" customHeight="1" x14ac:dyDescent="0.25">
      <c r="A9" s="34">
        <v>7</v>
      </c>
      <c r="B9" s="34" t="s">
        <v>134</v>
      </c>
      <c r="C9" s="34" t="s">
        <v>135</v>
      </c>
      <c r="D9" s="17" t="s">
        <v>300</v>
      </c>
      <c r="E9" s="17" t="s">
        <v>662</v>
      </c>
      <c r="F9" s="17" t="s">
        <v>221</v>
      </c>
      <c r="G9" s="17" t="s">
        <v>648</v>
      </c>
      <c r="H9" s="17" t="s">
        <v>660</v>
      </c>
      <c r="I9" s="17" t="s">
        <v>661</v>
      </c>
      <c r="J9" s="17" t="s">
        <v>650</v>
      </c>
      <c r="K9" s="17"/>
      <c r="L9" s="17">
        <v>3</v>
      </c>
      <c r="M9" s="17">
        <v>50</v>
      </c>
      <c r="N9" s="17" t="s">
        <v>651</v>
      </c>
      <c r="O9" s="17">
        <v>30.5</v>
      </c>
      <c r="P9" s="17" t="s">
        <v>230</v>
      </c>
      <c r="Q9" s="17" t="s">
        <v>652</v>
      </c>
      <c r="R9" s="17" t="s">
        <v>653</v>
      </c>
      <c r="S9" s="17" t="s">
        <v>654</v>
      </c>
      <c r="T9" s="17"/>
      <c r="U9" s="17" t="s">
        <v>655</v>
      </c>
      <c r="V9" s="17" t="s">
        <v>656</v>
      </c>
      <c r="W9" s="19">
        <v>128</v>
      </c>
      <c r="X9" s="19">
        <v>145</v>
      </c>
      <c r="Y9" s="17"/>
      <c r="Z9" s="17" t="s">
        <v>594</v>
      </c>
      <c r="AA9" s="17" t="s">
        <v>657</v>
      </c>
      <c r="AB9" s="17" t="s">
        <v>658</v>
      </c>
      <c r="AC9" s="17" t="s">
        <v>586</v>
      </c>
      <c r="AD9" s="17" t="s">
        <v>659</v>
      </c>
      <c r="AE9" s="17">
        <v>46</v>
      </c>
      <c r="AF9" s="20"/>
      <c r="AG9" s="20" t="s">
        <v>404</v>
      </c>
    </row>
    <row r="10" spans="1:33" ht="18" customHeight="1" x14ac:dyDescent="0.25">
      <c r="A10" s="17">
        <v>8</v>
      </c>
      <c r="B10" s="17" t="s">
        <v>136</v>
      </c>
      <c r="C10" s="17" t="s">
        <v>137</v>
      </c>
      <c r="D10" s="17" t="s">
        <v>301</v>
      </c>
      <c r="E10" s="17" t="s">
        <v>273</v>
      </c>
      <c r="F10" s="17" t="s">
        <v>274</v>
      </c>
      <c r="G10" s="17" t="s">
        <v>418</v>
      </c>
      <c r="H10" s="17"/>
      <c r="I10" s="17" t="s">
        <v>275</v>
      </c>
      <c r="J10" s="17" t="s">
        <v>283</v>
      </c>
      <c r="K10" s="17" t="s">
        <v>427</v>
      </c>
      <c r="L10" s="17" t="s">
        <v>226</v>
      </c>
      <c r="M10" s="17" t="s">
        <v>227</v>
      </c>
      <c r="N10" s="17" t="s">
        <v>229</v>
      </c>
      <c r="O10" s="17" t="s">
        <v>420</v>
      </c>
      <c r="P10" s="17" t="s">
        <v>230</v>
      </c>
      <c r="Q10" s="17" t="s">
        <v>280</v>
      </c>
      <c r="R10" s="17" t="s">
        <v>399</v>
      </c>
      <c r="S10" s="17" t="s">
        <v>280</v>
      </c>
      <c r="T10" s="17" t="s">
        <v>278</v>
      </c>
      <c r="U10" s="17" t="s">
        <v>235</v>
      </c>
      <c r="V10" s="17" t="s">
        <v>421</v>
      </c>
      <c r="W10" s="19">
        <v>1.0699999999999999E-2</v>
      </c>
      <c r="X10" s="19">
        <v>1.0999999999999999E-2</v>
      </c>
      <c r="Y10" s="17" t="s">
        <v>263</v>
      </c>
      <c r="Z10" s="17" t="s">
        <v>281</v>
      </c>
      <c r="AA10" s="17" t="s">
        <v>282</v>
      </c>
      <c r="AB10" s="17" t="s">
        <v>236</v>
      </c>
      <c r="AC10" s="17" t="s">
        <v>284</v>
      </c>
      <c r="AD10" s="17" t="s">
        <v>237</v>
      </c>
      <c r="AE10" s="17" t="s">
        <v>279</v>
      </c>
      <c r="AF10" s="20" t="s">
        <v>251</v>
      </c>
      <c r="AG10" s="20" t="s">
        <v>251</v>
      </c>
    </row>
    <row r="11" spans="1:33" ht="18" customHeight="1" x14ac:dyDescent="0.25">
      <c r="A11" s="17">
        <v>9</v>
      </c>
      <c r="B11" s="17" t="s">
        <v>138</v>
      </c>
      <c r="C11" s="17" t="s">
        <v>139</v>
      </c>
      <c r="D11" s="17" t="s">
        <v>302</v>
      </c>
      <c r="E11" s="17" t="s">
        <v>273</v>
      </c>
      <c r="F11" s="17" t="s">
        <v>274</v>
      </c>
      <c r="G11" s="17" t="s">
        <v>419</v>
      </c>
      <c r="H11" s="17"/>
      <c r="I11" s="17" t="s">
        <v>276</v>
      </c>
      <c r="J11" s="17" t="s">
        <v>283</v>
      </c>
      <c r="K11" s="17" t="s">
        <v>427</v>
      </c>
      <c r="L11" s="17" t="s">
        <v>226</v>
      </c>
      <c r="M11" s="17" t="s">
        <v>227</v>
      </c>
      <c r="N11" s="17" t="s">
        <v>229</v>
      </c>
      <c r="O11" s="17" t="s">
        <v>420</v>
      </c>
      <c r="P11" s="17" t="s">
        <v>230</v>
      </c>
      <c r="Q11" s="17" t="s">
        <v>280</v>
      </c>
      <c r="R11" s="17" t="s">
        <v>399</v>
      </c>
      <c r="S11" s="17" t="s">
        <v>280</v>
      </c>
      <c r="T11" s="17" t="s">
        <v>278</v>
      </c>
      <c r="U11" s="17" t="s">
        <v>235</v>
      </c>
      <c r="V11" s="17" t="s">
        <v>421</v>
      </c>
      <c r="W11" s="19">
        <v>1.0699999999999999E-2</v>
      </c>
      <c r="X11" s="19">
        <v>1.0999999999999999E-2</v>
      </c>
      <c r="Y11" s="17" t="s">
        <v>263</v>
      </c>
      <c r="Z11" s="17" t="s">
        <v>281</v>
      </c>
      <c r="AA11" s="17" t="s">
        <v>282</v>
      </c>
      <c r="AB11" s="17" t="s">
        <v>236</v>
      </c>
      <c r="AC11" s="17" t="s">
        <v>284</v>
      </c>
      <c r="AD11" s="17" t="s">
        <v>237</v>
      </c>
      <c r="AE11" s="17" t="s">
        <v>279</v>
      </c>
      <c r="AF11" s="20" t="s">
        <v>251</v>
      </c>
      <c r="AG11" s="20" t="s">
        <v>251</v>
      </c>
    </row>
    <row r="12" spans="1:33" ht="18" customHeight="1" x14ac:dyDescent="0.25">
      <c r="A12" s="5">
        <v>10</v>
      </c>
      <c r="B12" s="5" t="s">
        <v>140</v>
      </c>
      <c r="C12" s="5" t="s">
        <v>141</v>
      </c>
      <c r="D12" s="17" t="s">
        <v>431</v>
      </c>
      <c r="E12" s="17" t="s">
        <v>273</v>
      </c>
      <c r="F12" s="17" t="s">
        <v>274</v>
      </c>
      <c r="G12" s="17" t="s">
        <v>419</v>
      </c>
      <c r="H12" s="17"/>
      <c r="I12" s="17" t="s">
        <v>276</v>
      </c>
      <c r="J12" s="17" t="s">
        <v>283</v>
      </c>
      <c r="K12" s="17" t="s">
        <v>427</v>
      </c>
      <c r="L12" s="17" t="s">
        <v>226</v>
      </c>
      <c r="M12" s="17" t="s">
        <v>227</v>
      </c>
      <c r="N12" s="17" t="s">
        <v>229</v>
      </c>
      <c r="O12" s="17" t="s">
        <v>420</v>
      </c>
      <c r="P12" s="17" t="s">
        <v>230</v>
      </c>
      <c r="Q12" s="17" t="s">
        <v>280</v>
      </c>
      <c r="R12" s="17" t="s">
        <v>399</v>
      </c>
      <c r="S12" s="17" t="s">
        <v>280</v>
      </c>
      <c r="T12" s="17" t="s">
        <v>278</v>
      </c>
      <c r="U12" s="17" t="s">
        <v>235</v>
      </c>
      <c r="V12" s="17" t="s">
        <v>421</v>
      </c>
      <c r="W12" s="19">
        <v>1.0699999999999999E-2</v>
      </c>
      <c r="X12" s="19">
        <v>1.0999999999999999E-2</v>
      </c>
      <c r="Y12" s="17" t="s">
        <v>263</v>
      </c>
      <c r="Z12" s="17" t="s">
        <v>281</v>
      </c>
      <c r="AA12" s="17" t="s">
        <v>282</v>
      </c>
      <c r="AB12" s="17" t="s">
        <v>236</v>
      </c>
      <c r="AC12" s="17" t="s">
        <v>284</v>
      </c>
      <c r="AD12" s="17" t="s">
        <v>237</v>
      </c>
      <c r="AE12" s="17" t="s">
        <v>279</v>
      </c>
      <c r="AF12" s="20" t="s">
        <v>251</v>
      </c>
      <c r="AG12" s="20" t="s">
        <v>251</v>
      </c>
    </row>
    <row r="13" spans="1:33" ht="18" customHeight="1" x14ac:dyDescent="0.25">
      <c r="A13" s="7">
        <v>11</v>
      </c>
      <c r="B13" s="7" t="s">
        <v>142</v>
      </c>
      <c r="C13" s="7" t="s">
        <v>143</v>
      </c>
      <c r="D13" s="17" t="s">
        <v>611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18"/>
    </row>
    <row r="14" spans="1:33" ht="18" customHeight="1" x14ac:dyDescent="0.25">
      <c r="A14" s="7">
        <v>12</v>
      </c>
      <c r="B14" s="7" t="s">
        <v>144</v>
      </c>
      <c r="C14" s="7" t="s">
        <v>145</v>
      </c>
      <c r="D14" s="17" t="s">
        <v>612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18"/>
    </row>
    <row r="15" spans="1:33" ht="18" customHeight="1" x14ac:dyDescent="0.25">
      <c r="A15" s="7">
        <v>13</v>
      </c>
      <c r="B15" s="7" t="s">
        <v>146</v>
      </c>
      <c r="C15" s="7" t="s">
        <v>147</v>
      </c>
      <c r="D15" s="17" t="s">
        <v>613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8"/>
    </row>
    <row r="16" spans="1:33" ht="18" customHeight="1" x14ac:dyDescent="0.25">
      <c r="A16" s="7">
        <v>14</v>
      </c>
      <c r="B16" s="7" t="s">
        <v>148</v>
      </c>
      <c r="C16" s="7" t="s">
        <v>149</v>
      </c>
      <c r="D16" s="17" t="s">
        <v>614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8"/>
    </row>
    <row r="17" spans="1:33" ht="18" customHeight="1" x14ac:dyDescent="0.25">
      <c r="A17" s="62">
        <v>15</v>
      </c>
      <c r="B17" s="62" t="s">
        <v>150</v>
      </c>
      <c r="C17" s="62" t="s">
        <v>151</v>
      </c>
      <c r="D17" s="33" t="s">
        <v>615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7"/>
    </row>
    <row r="18" spans="1:33" ht="18" customHeight="1" x14ac:dyDescent="0.25">
      <c r="A18" s="48">
        <v>16</v>
      </c>
      <c r="B18" s="48" t="s">
        <v>152</v>
      </c>
      <c r="C18" s="48" t="s">
        <v>153</v>
      </c>
      <c r="D18" s="48" t="s">
        <v>616</v>
      </c>
      <c r="E18" s="70" t="s">
        <v>804</v>
      </c>
      <c r="F18" s="71" t="s">
        <v>390</v>
      </c>
      <c r="G18" s="71" t="s">
        <v>391</v>
      </c>
      <c r="H18" s="71" t="s">
        <v>392</v>
      </c>
      <c r="I18" s="72"/>
      <c r="J18" s="71" t="s">
        <v>393</v>
      </c>
      <c r="K18" s="73"/>
      <c r="L18" s="74">
        <v>400</v>
      </c>
      <c r="M18" s="71">
        <v>50</v>
      </c>
      <c r="N18" s="74">
        <v>230</v>
      </c>
      <c r="O18" s="74">
        <v>17.3</v>
      </c>
      <c r="P18" s="71" t="s">
        <v>773</v>
      </c>
      <c r="Q18" s="71">
        <v>110</v>
      </c>
      <c r="R18" s="70" t="s">
        <v>399</v>
      </c>
      <c r="S18" s="74">
        <v>110</v>
      </c>
      <c r="T18" s="74">
        <v>123</v>
      </c>
      <c r="U18" s="75">
        <v>0.05</v>
      </c>
      <c r="V18" s="71" t="s">
        <v>402</v>
      </c>
      <c r="W18" s="76">
        <v>104.4</v>
      </c>
      <c r="X18" s="74">
        <v>128.80000000000001</v>
      </c>
      <c r="Y18" s="71"/>
      <c r="Z18" s="71" t="s">
        <v>403</v>
      </c>
      <c r="AA18" s="70" t="s">
        <v>805</v>
      </c>
      <c r="AB18" s="71" t="s">
        <v>609</v>
      </c>
      <c r="AC18" s="74">
        <v>340</v>
      </c>
      <c r="AD18" s="74" t="s">
        <v>237</v>
      </c>
      <c r="AE18" s="74" t="s">
        <v>328</v>
      </c>
      <c r="AF18" s="73"/>
      <c r="AG18" s="74" t="s">
        <v>404</v>
      </c>
    </row>
    <row r="19" spans="1:33" ht="18" customHeight="1" x14ac:dyDescent="0.25">
      <c r="A19" s="32">
        <v>17</v>
      </c>
      <c r="B19" s="32" t="s">
        <v>154</v>
      </c>
      <c r="C19" s="32" t="s">
        <v>155</v>
      </c>
      <c r="D19" s="32" t="s">
        <v>447</v>
      </c>
      <c r="E19" s="32" t="s">
        <v>273</v>
      </c>
      <c r="F19" s="32" t="s">
        <v>274</v>
      </c>
      <c r="G19" s="32" t="s">
        <v>419</v>
      </c>
      <c r="H19" s="32"/>
      <c r="I19" s="32" t="s">
        <v>276</v>
      </c>
      <c r="J19" s="32" t="s">
        <v>283</v>
      </c>
      <c r="K19" s="32" t="s">
        <v>427</v>
      </c>
      <c r="L19" s="32" t="s">
        <v>226</v>
      </c>
      <c r="M19" s="32" t="s">
        <v>227</v>
      </c>
      <c r="N19" s="32" t="s">
        <v>229</v>
      </c>
      <c r="O19" s="32" t="s">
        <v>420</v>
      </c>
      <c r="P19" s="32" t="s">
        <v>230</v>
      </c>
      <c r="Q19" s="32" t="s">
        <v>280</v>
      </c>
      <c r="R19" s="32" t="s">
        <v>399</v>
      </c>
      <c r="S19" s="32" t="s">
        <v>280</v>
      </c>
      <c r="T19" s="32" t="s">
        <v>278</v>
      </c>
      <c r="U19" s="32" t="s">
        <v>235</v>
      </c>
      <c r="V19" s="32" t="s">
        <v>421</v>
      </c>
      <c r="W19" s="68">
        <v>1.0699999999999999E-2</v>
      </c>
      <c r="X19" s="68">
        <v>1.0999999999999999E-2</v>
      </c>
      <c r="Y19" s="32" t="s">
        <v>263</v>
      </c>
      <c r="Z19" s="32" t="s">
        <v>281</v>
      </c>
      <c r="AA19" s="32" t="s">
        <v>282</v>
      </c>
      <c r="AB19" s="32" t="s">
        <v>236</v>
      </c>
      <c r="AC19" s="32" t="s">
        <v>284</v>
      </c>
      <c r="AD19" s="32" t="s">
        <v>237</v>
      </c>
      <c r="AE19" s="32" t="s">
        <v>279</v>
      </c>
      <c r="AF19" s="69" t="s">
        <v>251</v>
      </c>
      <c r="AG19" s="69" t="s">
        <v>251</v>
      </c>
    </row>
    <row r="20" spans="1:33" ht="18" customHeight="1" x14ac:dyDescent="0.25">
      <c r="A20" s="17">
        <v>18</v>
      </c>
      <c r="B20" s="17" t="s">
        <v>156</v>
      </c>
      <c r="C20" s="17" t="s">
        <v>157</v>
      </c>
      <c r="D20" s="17" t="s">
        <v>617</v>
      </c>
      <c r="E20" s="17" t="s">
        <v>662</v>
      </c>
      <c r="F20" s="17" t="s">
        <v>221</v>
      </c>
      <c r="G20" s="17" t="s">
        <v>663</v>
      </c>
      <c r="H20" s="17" t="s">
        <v>649</v>
      </c>
      <c r="I20" s="17" t="s">
        <v>664</v>
      </c>
      <c r="J20" s="17" t="s">
        <v>650</v>
      </c>
      <c r="K20" s="17"/>
      <c r="L20" s="17">
        <v>3</v>
      </c>
      <c r="M20" s="17">
        <v>50</v>
      </c>
      <c r="N20" s="17" t="s">
        <v>651</v>
      </c>
      <c r="O20" s="17" t="s">
        <v>665</v>
      </c>
      <c r="P20" s="17" t="s">
        <v>230</v>
      </c>
      <c r="Q20" s="17" t="s">
        <v>652</v>
      </c>
      <c r="R20" s="17" t="s">
        <v>653</v>
      </c>
      <c r="S20" s="17" t="s">
        <v>654</v>
      </c>
      <c r="T20" s="17"/>
      <c r="U20" s="17" t="s">
        <v>655</v>
      </c>
      <c r="V20" s="17" t="s">
        <v>666</v>
      </c>
      <c r="W20" s="56"/>
      <c r="X20" s="56"/>
      <c r="Y20" s="17"/>
      <c r="Z20" s="17" t="s">
        <v>594</v>
      </c>
      <c r="AA20" s="17" t="s">
        <v>657</v>
      </c>
      <c r="AB20" s="17" t="s">
        <v>658</v>
      </c>
      <c r="AC20" s="17" t="s">
        <v>586</v>
      </c>
      <c r="AD20" s="17" t="s">
        <v>659</v>
      </c>
      <c r="AE20" s="17" t="s">
        <v>667</v>
      </c>
      <c r="AF20" s="20"/>
      <c r="AG20" s="20" t="s">
        <v>404</v>
      </c>
    </row>
    <row r="21" spans="1:33" ht="18" customHeight="1" x14ac:dyDescent="0.25">
      <c r="A21" s="7">
        <v>19</v>
      </c>
      <c r="B21" s="7" t="s">
        <v>158</v>
      </c>
      <c r="C21" s="7" t="s">
        <v>159</v>
      </c>
      <c r="D21" s="17" t="s">
        <v>618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8"/>
    </row>
    <row r="22" spans="1:33" ht="18" customHeight="1" x14ac:dyDescent="0.25">
      <c r="A22" s="7">
        <v>20</v>
      </c>
      <c r="B22" s="7" t="s">
        <v>160</v>
      </c>
      <c r="C22" s="7" t="s">
        <v>161</v>
      </c>
      <c r="D22" s="17" t="s">
        <v>619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18"/>
    </row>
    <row r="23" spans="1:33" ht="18" customHeight="1" x14ac:dyDescent="0.25">
      <c r="A23" s="7">
        <v>21</v>
      </c>
      <c r="B23" s="7" t="s">
        <v>162</v>
      </c>
      <c r="C23" s="7" t="s">
        <v>163</v>
      </c>
      <c r="D23" s="17" t="s">
        <v>620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8"/>
    </row>
    <row r="24" spans="1:33" ht="18" customHeight="1" x14ac:dyDescent="0.25">
      <c r="A24" s="7">
        <v>22</v>
      </c>
      <c r="B24" s="7" t="s">
        <v>164</v>
      </c>
      <c r="C24" s="7" t="s">
        <v>165</v>
      </c>
      <c r="D24" s="17" t="s">
        <v>621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8"/>
    </row>
    <row r="25" spans="1:33" ht="18" customHeight="1" x14ac:dyDescent="0.25">
      <c r="A25" s="7">
        <v>23</v>
      </c>
      <c r="B25" s="7" t="s">
        <v>166</v>
      </c>
      <c r="C25" s="7" t="s">
        <v>167</v>
      </c>
      <c r="D25" s="17" t="s">
        <v>622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18"/>
    </row>
    <row r="26" spans="1:33" ht="18" customHeight="1" x14ac:dyDescent="0.25">
      <c r="A26" s="7">
        <v>24</v>
      </c>
      <c r="B26" s="7" t="s">
        <v>168</v>
      </c>
      <c r="C26" s="7" t="s">
        <v>169</v>
      </c>
      <c r="D26" s="17" t="s">
        <v>623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18"/>
    </row>
    <row r="27" spans="1:33" ht="18" customHeight="1" x14ac:dyDescent="0.25">
      <c r="A27" s="8">
        <v>25</v>
      </c>
      <c r="B27" s="7" t="s">
        <v>170</v>
      </c>
      <c r="C27" s="7" t="s">
        <v>171</v>
      </c>
      <c r="D27" s="17" t="s">
        <v>624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8"/>
    </row>
    <row r="28" spans="1:33" ht="18" customHeight="1" x14ac:dyDescent="0.25">
      <c r="A28" s="8">
        <v>26</v>
      </c>
      <c r="B28" s="7" t="s">
        <v>172</v>
      </c>
      <c r="C28" s="7" t="s">
        <v>173</v>
      </c>
      <c r="D28" s="17" t="s">
        <v>625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18"/>
    </row>
    <row r="29" spans="1:33" ht="18" customHeight="1" x14ac:dyDescent="0.25">
      <c r="A29" s="7">
        <v>27</v>
      </c>
      <c r="B29" s="7" t="s">
        <v>174</v>
      </c>
      <c r="C29" s="7" t="s">
        <v>175</v>
      </c>
      <c r="D29" s="17" t="s">
        <v>626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18"/>
    </row>
    <row r="30" spans="1:33" ht="18" customHeight="1" x14ac:dyDescent="0.25">
      <c r="A30" s="17">
        <v>28</v>
      </c>
      <c r="B30" s="17" t="s">
        <v>176</v>
      </c>
      <c r="C30" s="17" t="s">
        <v>177</v>
      </c>
      <c r="D30" s="17" t="s">
        <v>627</v>
      </c>
      <c r="E30" s="17" t="s">
        <v>662</v>
      </c>
      <c r="F30" s="17" t="s">
        <v>221</v>
      </c>
      <c r="G30" s="17" t="s">
        <v>648</v>
      </c>
      <c r="H30" s="17" t="s">
        <v>649</v>
      </c>
      <c r="I30" s="17" t="s">
        <v>661</v>
      </c>
      <c r="J30" s="17" t="s">
        <v>650</v>
      </c>
      <c r="K30" s="17"/>
      <c r="L30" s="17">
        <v>3</v>
      </c>
      <c r="M30" s="17">
        <v>50</v>
      </c>
      <c r="N30" s="17" t="s">
        <v>651</v>
      </c>
      <c r="O30" s="17">
        <v>30.5</v>
      </c>
      <c r="P30" s="17" t="s">
        <v>230</v>
      </c>
      <c r="Q30" s="17" t="s">
        <v>652</v>
      </c>
      <c r="R30" s="17" t="s">
        <v>653</v>
      </c>
      <c r="S30" s="17" t="s">
        <v>654</v>
      </c>
      <c r="T30" s="17"/>
      <c r="U30" s="17" t="s">
        <v>655</v>
      </c>
      <c r="V30" s="17" t="s">
        <v>656</v>
      </c>
      <c r="W30" s="56">
        <v>128</v>
      </c>
      <c r="X30" s="56">
        <v>145</v>
      </c>
      <c r="Y30" s="17"/>
      <c r="Z30" s="17" t="s">
        <v>594</v>
      </c>
      <c r="AA30" s="17" t="s">
        <v>657</v>
      </c>
      <c r="AB30" s="17" t="s">
        <v>658</v>
      </c>
      <c r="AC30" s="17" t="s">
        <v>586</v>
      </c>
      <c r="AD30" s="17" t="s">
        <v>659</v>
      </c>
      <c r="AE30" s="17">
        <v>46</v>
      </c>
      <c r="AF30" s="20"/>
      <c r="AG30" s="20" t="s">
        <v>404</v>
      </c>
    </row>
    <row r="31" spans="1:33" ht="18" customHeight="1" x14ac:dyDescent="0.25">
      <c r="A31" s="17">
        <v>29</v>
      </c>
      <c r="B31" s="17" t="s">
        <v>178</v>
      </c>
      <c r="C31" s="17" t="s">
        <v>179</v>
      </c>
      <c r="D31" s="17" t="s">
        <v>628</v>
      </c>
      <c r="E31" s="17" t="s">
        <v>662</v>
      </c>
      <c r="F31" s="17" t="s">
        <v>221</v>
      </c>
      <c r="G31" s="17" t="s">
        <v>648</v>
      </c>
      <c r="H31" s="17" t="s">
        <v>660</v>
      </c>
      <c r="I31" s="17" t="s">
        <v>661</v>
      </c>
      <c r="J31" s="17" t="s">
        <v>650</v>
      </c>
      <c r="K31" s="17"/>
      <c r="L31" s="17">
        <v>3</v>
      </c>
      <c r="M31" s="17">
        <v>50</v>
      </c>
      <c r="N31" s="17" t="s">
        <v>651</v>
      </c>
      <c r="O31" s="17">
        <v>30.5</v>
      </c>
      <c r="P31" s="17" t="s">
        <v>230</v>
      </c>
      <c r="Q31" s="17" t="s">
        <v>652</v>
      </c>
      <c r="R31" s="17" t="s">
        <v>653</v>
      </c>
      <c r="S31" s="17" t="s">
        <v>654</v>
      </c>
      <c r="T31" s="17"/>
      <c r="U31" s="17" t="s">
        <v>655</v>
      </c>
      <c r="V31" s="17" t="s">
        <v>656</v>
      </c>
      <c r="W31" s="56">
        <v>128</v>
      </c>
      <c r="X31" s="56">
        <v>145</v>
      </c>
      <c r="Y31" s="17"/>
      <c r="Z31" s="17" t="s">
        <v>594</v>
      </c>
      <c r="AA31" s="17" t="s">
        <v>657</v>
      </c>
      <c r="AB31" s="17" t="s">
        <v>658</v>
      </c>
      <c r="AC31" s="17" t="s">
        <v>586</v>
      </c>
      <c r="AD31" s="17" t="s">
        <v>659</v>
      </c>
      <c r="AE31" s="17">
        <v>46</v>
      </c>
      <c r="AF31" s="20"/>
      <c r="AG31" s="20" t="s">
        <v>404</v>
      </c>
    </row>
    <row r="32" spans="1:33" ht="18" customHeight="1" x14ac:dyDescent="0.25">
      <c r="A32" s="7">
        <v>30</v>
      </c>
      <c r="B32" s="7" t="s">
        <v>180</v>
      </c>
      <c r="C32" s="7" t="s">
        <v>181</v>
      </c>
      <c r="D32" s="17" t="s">
        <v>629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18"/>
    </row>
    <row r="33" spans="1:33" ht="18" customHeight="1" x14ac:dyDescent="0.25">
      <c r="A33" s="7">
        <v>31</v>
      </c>
      <c r="B33" s="7" t="s">
        <v>182</v>
      </c>
      <c r="C33" s="7" t="s">
        <v>183</v>
      </c>
      <c r="D33" s="17" t="s">
        <v>630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18"/>
    </row>
    <row r="34" spans="1:33" ht="18" customHeight="1" x14ac:dyDescent="0.25">
      <c r="A34" s="7">
        <v>32</v>
      </c>
      <c r="B34" s="7" t="s">
        <v>184</v>
      </c>
      <c r="C34" s="7" t="s">
        <v>185</v>
      </c>
      <c r="D34" s="17" t="s">
        <v>631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18"/>
    </row>
    <row r="35" spans="1:33" ht="18" customHeight="1" x14ac:dyDescent="0.25">
      <c r="A35" s="7">
        <v>33</v>
      </c>
      <c r="B35" s="7" t="s">
        <v>186</v>
      </c>
      <c r="C35" s="7" t="s">
        <v>187</v>
      </c>
      <c r="D35" s="17" t="s">
        <v>632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18"/>
    </row>
    <row r="36" spans="1:33" ht="18" customHeight="1" x14ac:dyDescent="0.25">
      <c r="A36" s="7">
        <v>34</v>
      </c>
      <c r="B36" s="7" t="s">
        <v>188</v>
      </c>
      <c r="C36" s="7" t="s">
        <v>189</v>
      </c>
      <c r="D36" s="17" t="s">
        <v>633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18"/>
    </row>
    <row r="37" spans="1:33" ht="18" customHeight="1" x14ac:dyDescent="0.25">
      <c r="A37" s="17">
        <v>35</v>
      </c>
      <c r="B37" s="17" t="s">
        <v>190</v>
      </c>
      <c r="C37" s="17" t="s">
        <v>191</v>
      </c>
      <c r="D37" s="17" t="s">
        <v>634</v>
      </c>
      <c r="E37" s="17" t="s">
        <v>610</v>
      </c>
      <c r="F37" s="17" t="s">
        <v>390</v>
      </c>
      <c r="G37" s="17" t="s">
        <v>391</v>
      </c>
      <c r="H37" s="17" t="s">
        <v>392</v>
      </c>
      <c r="I37" s="17" t="s">
        <v>607</v>
      </c>
      <c r="J37" s="17" t="s">
        <v>393</v>
      </c>
      <c r="K37" s="17"/>
      <c r="L37" s="17" t="s">
        <v>229</v>
      </c>
      <c r="M37" s="17" t="s">
        <v>394</v>
      </c>
      <c r="N37" s="17" t="s">
        <v>395</v>
      </c>
      <c r="O37" s="17" t="s">
        <v>396</v>
      </c>
      <c r="P37" s="17" t="s">
        <v>397</v>
      </c>
      <c r="Q37" s="17" t="s">
        <v>398</v>
      </c>
      <c r="R37" s="17" t="s">
        <v>399</v>
      </c>
      <c r="S37" s="17" t="s">
        <v>400</v>
      </c>
      <c r="T37" s="17" t="s">
        <v>401</v>
      </c>
      <c r="U37" s="17">
        <v>0.05</v>
      </c>
      <c r="V37" s="17" t="s">
        <v>402</v>
      </c>
      <c r="W37" s="56">
        <v>128</v>
      </c>
      <c r="X37" s="56">
        <v>145</v>
      </c>
      <c r="Y37" s="17"/>
      <c r="Z37" s="17" t="s">
        <v>403</v>
      </c>
      <c r="AA37" s="17" t="s">
        <v>608</v>
      </c>
      <c r="AB37" s="17" t="s">
        <v>609</v>
      </c>
      <c r="AC37" s="17">
        <v>340</v>
      </c>
      <c r="AD37" s="17" t="s">
        <v>237</v>
      </c>
      <c r="AE37" s="17" t="s">
        <v>328</v>
      </c>
      <c r="AF37" s="20"/>
      <c r="AG37" s="20" t="s">
        <v>404</v>
      </c>
    </row>
    <row r="38" spans="1:33" ht="18" customHeight="1" x14ac:dyDescent="0.25">
      <c r="A38" s="7">
        <v>36</v>
      </c>
      <c r="B38" s="7" t="s">
        <v>192</v>
      </c>
      <c r="C38" s="7" t="s">
        <v>193</v>
      </c>
      <c r="D38" s="17" t="s">
        <v>635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18"/>
    </row>
    <row r="39" spans="1:33" ht="18" customHeight="1" x14ac:dyDescent="0.25">
      <c r="A39" s="17">
        <v>37</v>
      </c>
      <c r="B39" s="17" t="s">
        <v>194</v>
      </c>
      <c r="C39" s="17" t="s">
        <v>195</v>
      </c>
      <c r="D39" s="17" t="s">
        <v>636</v>
      </c>
      <c r="E39" s="17" t="s">
        <v>662</v>
      </c>
      <c r="F39" s="17" t="s">
        <v>221</v>
      </c>
      <c r="G39" s="17" t="s">
        <v>648</v>
      </c>
      <c r="H39" s="17" t="s">
        <v>649</v>
      </c>
      <c r="I39" s="17"/>
      <c r="J39" s="17" t="s">
        <v>650</v>
      </c>
      <c r="K39" s="17"/>
      <c r="L39" s="17">
        <v>3</v>
      </c>
      <c r="M39" s="17">
        <v>50</v>
      </c>
      <c r="N39" s="17" t="s">
        <v>651</v>
      </c>
      <c r="O39" s="17">
        <v>30.5</v>
      </c>
      <c r="P39" s="17" t="s">
        <v>230</v>
      </c>
      <c r="Q39" s="17" t="s">
        <v>652</v>
      </c>
      <c r="R39" s="17" t="s">
        <v>653</v>
      </c>
      <c r="S39" s="17" t="s">
        <v>654</v>
      </c>
      <c r="T39" s="17"/>
      <c r="U39" s="17" t="s">
        <v>655</v>
      </c>
      <c r="V39" s="17" t="s">
        <v>656</v>
      </c>
      <c r="W39" s="56">
        <v>128</v>
      </c>
      <c r="X39" s="56">
        <v>145</v>
      </c>
      <c r="Y39" s="17"/>
      <c r="Z39" s="17" t="s">
        <v>594</v>
      </c>
      <c r="AA39" s="17" t="s">
        <v>657</v>
      </c>
      <c r="AB39" s="17" t="s">
        <v>658</v>
      </c>
      <c r="AC39" s="17" t="s">
        <v>586</v>
      </c>
      <c r="AD39" s="17" t="s">
        <v>659</v>
      </c>
      <c r="AE39" s="17">
        <v>46</v>
      </c>
      <c r="AF39" s="20"/>
      <c r="AG39" s="20" t="s">
        <v>404</v>
      </c>
    </row>
    <row r="40" spans="1:33" ht="18" customHeight="1" x14ac:dyDescent="0.25">
      <c r="A40" s="17">
        <v>38</v>
      </c>
      <c r="B40" s="17" t="s">
        <v>196</v>
      </c>
      <c r="C40" s="17" t="s">
        <v>197</v>
      </c>
      <c r="D40" s="17" t="s">
        <v>637</v>
      </c>
      <c r="E40" s="17" t="s">
        <v>769</v>
      </c>
      <c r="F40" s="17" t="s">
        <v>770</v>
      </c>
      <c r="G40" s="17" t="s">
        <v>771</v>
      </c>
      <c r="H40" s="17" t="s">
        <v>772</v>
      </c>
      <c r="I40" s="17"/>
      <c r="J40" s="17" t="s">
        <v>393</v>
      </c>
      <c r="K40" s="17"/>
      <c r="L40" s="17">
        <v>400</v>
      </c>
      <c r="M40" s="17">
        <v>50</v>
      </c>
      <c r="N40" s="17">
        <v>230</v>
      </c>
      <c r="O40" s="17" t="s">
        <v>396</v>
      </c>
      <c r="P40" s="17" t="s">
        <v>773</v>
      </c>
      <c r="Q40" s="17">
        <v>110</v>
      </c>
      <c r="R40" s="17" t="s">
        <v>399</v>
      </c>
      <c r="S40" s="17">
        <v>110</v>
      </c>
      <c r="T40" s="17">
        <v>123</v>
      </c>
      <c r="U40" s="17">
        <v>0.05</v>
      </c>
      <c r="V40" s="17" t="s">
        <v>774</v>
      </c>
      <c r="W40" s="56">
        <v>128</v>
      </c>
      <c r="X40" s="56">
        <v>145</v>
      </c>
      <c r="Y40" s="17"/>
      <c r="Z40" s="17" t="s">
        <v>403</v>
      </c>
      <c r="AA40" s="17" t="s">
        <v>775</v>
      </c>
      <c r="AB40" s="17" t="s">
        <v>609</v>
      </c>
      <c r="AC40" s="17">
        <v>340</v>
      </c>
      <c r="AD40" s="17" t="s">
        <v>237</v>
      </c>
      <c r="AE40" s="17" t="s">
        <v>328</v>
      </c>
      <c r="AF40" s="20"/>
      <c r="AG40" s="20" t="s">
        <v>404</v>
      </c>
    </row>
    <row r="41" spans="1:33" ht="18" customHeight="1" x14ac:dyDescent="0.25">
      <c r="A41" s="7">
        <v>39</v>
      </c>
      <c r="B41" s="7" t="s">
        <v>198</v>
      </c>
      <c r="C41" s="7" t="s">
        <v>199</v>
      </c>
      <c r="D41" s="17" t="s">
        <v>638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8"/>
    </row>
    <row r="42" spans="1:33" ht="18" customHeight="1" x14ac:dyDescent="0.25">
      <c r="A42" s="7">
        <v>40</v>
      </c>
      <c r="B42" s="7" t="s">
        <v>200</v>
      </c>
      <c r="C42" s="7" t="s">
        <v>201</v>
      </c>
      <c r="D42" s="17" t="s">
        <v>639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18"/>
    </row>
    <row r="43" spans="1:33" ht="18" customHeight="1" x14ac:dyDescent="0.25">
      <c r="A43" s="7">
        <v>41</v>
      </c>
      <c r="B43" s="7" t="s">
        <v>202</v>
      </c>
      <c r="C43" s="7" t="s">
        <v>203</v>
      </c>
      <c r="D43" s="17" t="s">
        <v>640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18"/>
    </row>
    <row r="44" spans="1:33" ht="18" customHeight="1" x14ac:dyDescent="0.25">
      <c r="A44" s="7">
        <v>42</v>
      </c>
      <c r="B44" s="7" t="s">
        <v>204</v>
      </c>
      <c r="C44" s="7" t="s">
        <v>205</v>
      </c>
      <c r="D44" s="17" t="s">
        <v>641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18"/>
    </row>
    <row r="45" spans="1:33" ht="18" customHeight="1" x14ac:dyDescent="0.25">
      <c r="A45" s="48">
        <v>43</v>
      </c>
      <c r="B45" s="48" t="s">
        <v>206</v>
      </c>
      <c r="C45" s="48" t="s">
        <v>207</v>
      </c>
      <c r="D45" s="48" t="s">
        <v>642</v>
      </c>
      <c r="E45" s="48" t="s">
        <v>540</v>
      </c>
      <c r="F45" s="48" t="s">
        <v>390</v>
      </c>
      <c r="G45" s="48" t="s">
        <v>391</v>
      </c>
      <c r="H45" s="48" t="s">
        <v>392</v>
      </c>
      <c r="I45" s="48" t="s">
        <v>275</v>
      </c>
      <c r="J45" s="48" t="s">
        <v>393</v>
      </c>
      <c r="K45" s="48"/>
      <c r="L45" s="48">
        <v>3</v>
      </c>
      <c r="M45" s="48" t="s">
        <v>394</v>
      </c>
      <c r="N45" s="48" t="s">
        <v>395</v>
      </c>
      <c r="O45" s="48">
        <v>17.3</v>
      </c>
      <c r="P45" s="48" t="s">
        <v>397</v>
      </c>
      <c r="Q45" s="48" t="s">
        <v>398</v>
      </c>
      <c r="R45" s="48" t="s">
        <v>399</v>
      </c>
      <c r="S45" s="48" t="s">
        <v>400</v>
      </c>
      <c r="T45" s="48" t="s">
        <v>401</v>
      </c>
      <c r="U45" s="48">
        <v>0.05</v>
      </c>
      <c r="V45" s="48" t="s">
        <v>402</v>
      </c>
      <c r="W45" s="48">
        <v>104.4</v>
      </c>
      <c r="X45" s="48">
        <v>128.80000000000001</v>
      </c>
      <c r="Y45" s="48"/>
      <c r="Z45" s="48" t="s">
        <v>403</v>
      </c>
      <c r="AA45" s="48" t="s">
        <v>608</v>
      </c>
      <c r="AB45" s="48" t="s">
        <v>609</v>
      </c>
      <c r="AC45" s="48">
        <v>340</v>
      </c>
      <c r="AD45" s="48" t="s">
        <v>237</v>
      </c>
      <c r="AE45" s="48" t="s">
        <v>328</v>
      </c>
      <c r="AF45" s="48"/>
      <c r="AG45" s="48" t="s">
        <v>404</v>
      </c>
    </row>
    <row r="46" spans="1:33" ht="18" customHeight="1" x14ac:dyDescent="0.25">
      <c r="A46" s="7">
        <v>44</v>
      </c>
      <c r="B46" s="7" t="s">
        <v>208</v>
      </c>
      <c r="C46" s="7" t="s">
        <v>209</v>
      </c>
      <c r="D46" s="17" t="s">
        <v>643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18"/>
    </row>
    <row r="47" spans="1:33" ht="18" customHeight="1" x14ac:dyDescent="0.25">
      <c r="A47" s="7">
        <v>45</v>
      </c>
      <c r="B47" s="7" t="s">
        <v>210</v>
      </c>
      <c r="C47" s="7" t="s">
        <v>211</v>
      </c>
      <c r="D47" s="17" t="s">
        <v>644</v>
      </c>
      <c r="E47" s="48" t="s">
        <v>791</v>
      </c>
      <c r="F47" s="48" t="s">
        <v>486</v>
      </c>
      <c r="G47" s="48" t="s">
        <v>792</v>
      </c>
      <c r="H47" s="48" t="s">
        <v>392</v>
      </c>
      <c r="I47" s="48" t="s">
        <v>275</v>
      </c>
      <c r="J47" s="48" t="s">
        <v>393</v>
      </c>
      <c r="K47" s="48"/>
      <c r="L47" s="48">
        <v>3</v>
      </c>
      <c r="M47" s="48" t="s">
        <v>394</v>
      </c>
      <c r="N47" s="48" t="s">
        <v>793</v>
      </c>
      <c r="O47" s="48">
        <v>4.5999999999999996</v>
      </c>
      <c r="P47" s="48" t="s">
        <v>397</v>
      </c>
      <c r="Q47" s="48" t="s">
        <v>398</v>
      </c>
      <c r="R47" s="48" t="s">
        <v>399</v>
      </c>
      <c r="S47" s="48" t="s">
        <v>400</v>
      </c>
      <c r="T47" s="48" t="s">
        <v>401</v>
      </c>
      <c r="U47" s="48">
        <v>0.05</v>
      </c>
      <c r="V47" s="48" t="s">
        <v>794</v>
      </c>
      <c r="W47" s="48">
        <v>104.4</v>
      </c>
      <c r="X47" s="48">
        <v>128.80000000000001</v>
      </c>
      <c r="Y47" s="48"/>
      <c r="Z47" s="48" t="s">
        <v>403</v>
      </c>
      <c r="AA47" s="48" t="s">
        <v>608</v>
      </c>
      <c r="AB47" s="48" t="s">
        <v>609</v>
      </c>
      <c r="AC47" s="48">
        <v>340</v>
      </c>
      <c r="AD47" s="48" t="s">
        <v>237</v>
      </c>
      <c r="AE47" s="48" t="s">
        <v>328</v>
      </c>
      <c r="AF47" s="48"/>
      <c r="AG47" s="48" t="s">
        <v>404</v>
      </c>
    </row>
    <row r="48" spans="1:33" ht="18" customHeight="1" x14ac:dyDescent="0.25">
      <c r="A48" s="48">
        <v>46</v>
      </c>
      <c r="B48" s="48" t="s">
        <v>212</v>
      </c>
      <c r="C48" s="48" t="s">
        <v>213</v>
      </c>
      <c r="D48" s="48" t="s">
        <v>645</v>
      </c>
      <c r="E48" s="48" t="s">
        <v>540</v>
      </c>
      <c r="F48" s="48" t="s">
        <v>390</v>
      </c>
      <c r="G48" s="48" t="s">
        <v>391</v>
      </c>
      <c r="H48" s="48" t="s">
        <v>392</v>
      </c>
      <c r="I48" s="48" t="s">
        <v>275</v>
      </c>
      <c r="J48" s="48" t="s">
        <v>393</v>
      </c>
      <c r="K48" s="48"/>
      <c r="L48" s="48">
        <v>3</v>
      </c>
      <c r="M48" s="48" t="s">
        <v>394</v>
      </c>
      <c r="N48" s="48" t="s">
        <v>395</v>
      </c>
      <c r="O48" s="48">
        <v>17.3</v>
      </c>
      <c r="P48" s="48" t="s">
        <v>397</v>
      </c>
      <c r="Q48" s="48" t="s">
        <v>398</v>
      </c>
      <c r="R48" s="48" t="s">
        <v>399</v>
      </c>
      <c r="S48" s="48" t="s">
        <v>400</v>
      </c>
      <c r="T48" s="48" t="s">
        <v>401</v>
      </c>
      <c r="U48" s="48">
        <v>0.05</v>
      </c>
      <c r="V48" s="48" t="s">
        <v>402</v>
      </c>
      <c r="W48" s="48">
        <v>104.4</v>
      </c>
      <c r="X48" s="48">
        <v>128.80000000000001</v>
      </c>
      <c r="Y48" s="48"/>
      <c r="Z48" s="48" t="s">
        <v>403</v>
      </c>
      <c r="AA48" s="48" t="s">
        <v>608</v>
      </c>
      <c r="AB48" s="48" t="s">
        <v>609</v>
      </c>
      <c r="AC48" s="48">
        <v>340</v>
      </c>
      <c r="AD48" s="48" t="s">
        <v>237</v>
      </c>
      <c r="AE48" s="48" t="s">
        <v>328</v>
      </c>
      <c r="AF48" s="48"/>
      <c r="AG48" s="48" t="s">
        <v>404</v>
      </c>
    </row>
    <row r="49" spans="1:33" ht="18" customHeight="1" x14ac:dyDescent="0.25">
      <c r="A49" s="7">
        <v>47</v>
      </c>
      <c r="B49" s="7" t="s">
        <v>214</v>
      </c>
      <c r="C49" s="7" t="s">
        <v>215</v>
      </c>
      <c r="D49" s="17" t="s">
        <v>646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18"/>
    </row>
    <row r="50" spans="1:33" ht="18" customHeight="1" thickBot="1" x14ac:dyDescent="0.3">
      <c r="A50" s="9">
        <v>48</v>
      </c>
      <c r="B50" s="9" t="s">
        <v>216</v>
      </c>
      <c r="C50" s="9" t="s">
        <v>217</v>
      </c>
      <c r="D50" s="49" t="s">
        <v>647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21"/>
    </row>
    <row r="51" spans="1:33" ht="15.75" thickTop="1" x14ac:dyDescent="0.25"/>
  </sheetData>
  <mergeCells count="1">
    <mergeCell ref="A1:AG1"/>
  </mergeCells>
  <phoneticPr fontId="29" type="noConversion"/>
  <pageMargins left="0.31496062992125984" right="0.11811023622047245" top="0.15748031496062992" bottom="0.15748031496062992" header="0.31496062992125984" footer="0.31496062992125984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T51"/>
  <sheetViews>
    <sheetView zoomScaleNormal="100" workbookViewId="0">
      <pane xSplit="2" ySplit="2" topLeftCell="J23" activePane="bottomRight" state="frozen"/>
      <selection pane="topRight" activeCell="C1" sqref="C1"/>
      <selection pane="bottomLeft" activeCell="A3" sqref="A3"/>
      <selection pane="bottomRight" activeCell="A46" sqref="A46:X46"/>
    </sheetView>
  </sheetViews>
  <sheetFormatPr defaultRowHeight="15" x14ac:dyDescent="0.25"/>
  <cols>
    <col min="1" max="1" width="3.85546875" customWidth="1"/>
    <col min="2" max="4" width="22.42578125" customWidth="1"/>
    <col min="5" max="5" width="32" customWidth="1"/>
    <col min="6" max="6" width="18.42578125" customWidth="1"/>
    <col min="7" max="7" width="34.28515625" customWidth="1"/>
    <col min="8" max="8" width="14.28515625" customWidth="1"/>
    <col min="9" max="9" width="20.140625" customWidth="1"/>
    <col min="10" max="10" width="13" customWidth="1"/>
    <col min="11" max="11" width="7.5703125" customWidth="1"/>
    <col min="12" max="12" width="24.42578125" customWidth="1"/>
    <col min="13" max="13" width="11.140625" customWidth="1"/>
    <col min="14" max="14" width="10.5703125" customWidth="1"/>
    <col min="15" max="15" width="11.140625" customWidth="1"/>
    <col min="16" max="16" width="7.5703125" customWidth="1"/>
    <col min="17" max="17" width="32.28515625" customWidth="1"/>
    <col min="18" max="18" width="12.5703125" customWidth="1"/>
    <col min="19" max="19" width="15.5703125" customWidth="1"/>
    <col min="20" max="20" width="15.28515625" customWidth="1"/>
    <col min="21" max="21" width="7.5703125" customWidth="1"/>
    <col min="22" max="22" width="13.140625" customWidth="1"/>
    <col min="23" max="23" width="18.140625" customWidth="1"/>
    <col min="24" max="24" width="15.85546875" customWidth="1"/>
    <col min="25" max="96" width="7.5703125" customWidth="1"/>
  </cols>
  <sheetData>
    <row r="1" spans="1:46" ht="24.75" thickTop="1" thickBot="1" x14ac:dyDescent="0.4">
      <c r="A1" s="78" t="s">
        <v>93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80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21.5" customHeight="1" thickTop="1" thickBot="1" x14ac:dyDescent="0.3">
      <c r="A2" s="15"/>
      <c r="B2" s="14" t="s">
        <v>120</v>
      </c>
      <c r="C2" s="14" t="s">
        <v>121</v>
      </c>
      <c r="D2" s="14" t="s">
        <v>298</v>
      </c>
      <c r="E2" s="23" t="s">
        <v>9</v>
      </c>
      <c r="F2" s="23" t="s">
        <v>10</v>
      </c>
      <c r="G2" s="23" t="s">
        <v>7</v>
      </c>
      <c r="H2" s="23" t="s">
        <v>11</v>
      </c>
      <c r="I2" s="23" t="s">
        <v>54</v>
      </c>
      <c r="J2" s="23" t="s">
        <v>6</v>
      </c>
      <c r="K2" s="23" t="s">
        <v>60</v>
      </c>
      <c r="L2" s="23" t="s">
        <v>59</v>
      </c>
      <c r="M2" s="23" t="s">
        <v>58</v>
      </c>
      <c r="N2" s="23" t="s">
        <v>57</v>
      </c>
      <c r="O2" s="23" t="s">
        <v>98</v>
      </c>
      <c r="P2" s="23" t="s">
        <v>97</v>
      </c>
      <c r="Q2" s="23" t="s">
        <v>54</v>
      </c>
      <c r="R2" s="23" t="s">
        <v>53</v>
      </c>
      <c r="S2" s="23" t="s">
        <v>52</v>
      </c>
      <c r="T2" s="23" t="s">
        <v>51</v>
      </c>
      <c r="U2" s="23" t="s">
        <v>96</v>
      </c>
      <c r="V2" s="23" t="s">
        <v>95</v>
      </c>
      <c r="W2" s="23" t="s">
        <v>94</v>
      </c>
      <c r="X2" s="23" t="s">
        <v>66</v>
      </c>
      <c r="Y2" s="3"/>
    </row>
    <row r="3" spans="1:46" ht="15.75" thickTop="1" x14ac:dyDescent="0.25">
      <c r="A3" s="32">
        <v>1</v>
      </c>
      <c r="B3" s="32" t="s">
        <v>122</v>
      </c>
      <c r="C3" s="32" t="s">
        <v>123</v>
      </c>
      <c r="D3" s="32" t="s">
        <v>313</v>
      </c>
      <c r="E3" s="50"/>
      <c r="F3" s="50"/>
      <c r="G3" s="50"/>
      <c r="H3" s="33" t="s">
        <v>254</v>
      </c>
      <c r="I3" s="30" t="s">
        <v>259</v>
      </c>
      <c r="J3" s="33" t="s">
        <v>249</v>
      </c>
      <c r="K3" s="33" t="s">
        <v>267</v>
      </c>
      <c r="L3" s="33" t="s">
        <v>268</v>
      </c>
      <c r="M3" s="33" t="s">
        <v>269</v>
      </c>
      <c r="N3" s="33" t="s">
        <v>270</v>
      </c>
      <c r="O3" s="33" t="s">
        <v>265</v>
      </c>
      <c r="P3" s="33">
        <v>38</v>
      </c>
      <c r="Q3" s="33" t="s">
        <v>271</v>
      </c>
      <c r="R3" s="33" t="s">
        <v>261</v>
      </c>
      <c r="S3" s="33" t="s">
        <v>262</v>
      </c>
      <c r="T3" s="33" t="s">
        <v>262</v>
      </c>
      <c r="U3" s="51">
        <v>7.0000000000000007E-2</v>
      </c>
      <c r="V3" s="50"/>
      <c r="W3" s="33" t="s">
        <v>264</v>
      </c>
      <c r="X3" s="50" t="s">
        <v>272</v>
      </c>
      <c r="AD3" s="1"/>
    </row>
    <row r="4" spans="1:46" x14ac:dyDescent="0.25">
      <c r="A4" s="17">
        <v>2</v>
      </c>
      <c r="B4" s="17" t="s">
        <v>124</v>
      </c>
      <c r="C4" s="17" t="s">
        <v>125</v>
      </c>
      <c r="D4" s="17" t="s">
        <v>304</v>
      </c>
      <c r="E4" s="17"/>
      <c r="F4" s="17"/>
      <c r="G4" s="17"/>
      <c r="H4" s="17" t="s">
        <v>254</v>
      </c>
      <c r="I4" s="36" t="s">
        <v>259</v>
      </c>
      <c r="J4" s="17" t="s">
        <v>249</v>
      </c>
      <c r="K4" s="17" t="s">
        <v>267</v>
      </c>
      <c r="L4" s="17" t="s">
        <v>268</v>
      </c>
      <c r="M4" s="17" t="s">
        <v>269</v>
      </c>
      <c r="N4" s="17" t="s">
        <v>270</v>
      </c>
      <c r="O4" s="17" t="s">
        <v>265</v>
      </c>
      <c r="P4" s="17">
        <v>38</v>
      </c>
      <c r="Q4" s="17" t="s">
        <v>271</v>
      </c>
      <c r="R4" s="17" t="s">
        <v>261</v>
      </c>
      <c r="S4" s="17" t="s">
        <v>262</v>
      </c>
      <c r="T4" s="17" t="s">
        <v>262</v>
      </c>
      <c r="U4" s="52">
        <v>7.0000000000000007E-2</v>
      </c>
      <c r="V4" s="17"/>
      <c r="W4" s="17" t="s">
        <v>264</v>
      </c>
      <c r="X4" s="17" t="s">
        <v>272</v>
      </c>
    </row>
    <row r="5" spans="1:46" x14ac:dyDescent="0.25">
      <c r="A5" s="17">
        <v>3</v>
      </c>
      <c r="B5" s="17" t="s">
        <v>126</v>
      </c>
      <c r="C5" s="17" t="s">
        <v>127</v>
      </c>
      <c r="D5" s="17" t="s">
        <v>314</v>
      </c>
      <c r="E5" s="17"/>
      <c r="F5" s="17"/>
      <c r="G5" s="17"/>
      <c r="H5" s="17" t="s">
        <v>254</v>
      </c>
      <c r="I5" s="36" t="s">
        <v>259</v>
      </c>
      <c r="J5" s="17" t="s">
        <v>249</v>
      </c>
      <c r="K5" s="17" t="s">
        <v>267</v>
      </c>
      <c r="L5" s="17" t="s">
        <v>268</v>
      </c>
      <c r="M5" s="17" t="s">
        <v>269</v>
      </c>
      <c r="N5" s="17" t="s">
        <v>270</v>
      </c>
      <c r="O5" s="17" t="s">
        <v>265</v>
      </c>
      <c r="P5" s="17">
        <v>38</v>
      </c>
      <c r="Q5" s="17" t="s">
        <v>271</v>
      </c>
      <c r="R5" s="17" t="s">
        <v>261</v>
      </c>
      <c r="S5" s="17" t="s">
        <v>262</v>
      </c>
      <c r="T5" s="17" t="s">
        <v>262</v>
      </c>
      <c r="U5" s="52">
        <v>7.0000000000000007E-2</v>
      </c>
      <c r="V5" s="17"/>
      <c r="W5" s="17" t="s">
        <v>264</v>
      </c>
      <c r="X5" s="17" t="s">
        <v>272</v>
      </c>
    </row>
    <row r="6" spans="1:46" x14ac:dyDescent="0.25">
      <c r="A6" s="17">
        <v>4</v>
      </c>
      <c r="B6" s="17" t="s">
        <v>128</v>
      </c>
      <c r="C6" s="17" t="s">
        <v>129</v>
      </c>
      <c r="D6" s="17" t="s">
        <v>315</v>
      </c>
      <c r="E6" s="17" t="s">
        <v>220</v>
      </c>
      <c r="F6" s="17" t="s">
        <v>221</v>
      </c>
      <c r="G6" s="17" t="s">
        <v>253</v>
      </c>
      <c r="H6" s="17" t="s">
        <v>254</v>
      </c>
      <c r="I6" s="36" t="s">
        <v>259</v>
      </c>
      <c r="J6" s="17" t="s">
        <v>249</v>
      </c>
      <c r="K6" s="17" t="s">
        <v>267</v>
      </c>
      <c r="L6" s="17" t="s">
        <v>268</v>
      </c>
      <c r="M6" s="17" t="s">
        <v>269</v>
      </c>
      <c r="N6" s="17" t="s">
        <v>270</v>
      </c>
      <c r="O6" s="17" t="s">
        <v>265</v>
      </c>
      <c r="P6" s="17">
        <v>38</v>
      </c>
      <c r="Q6" s="17" t="s">
        <v>271</v>
      </c>
      <c r="R6" s="17" t="s">
        <v>261</v>
      </c>
      <c r="S6" s="17" t="s">
        <v>262</v>
      </c>
      <c r="T6" s="17" t="s">
        <v>262</v>
      </c>
      <c r="U6" s="52">
        <v>7.0000000000000007E-2</v>
      </c>
      <c r="V6" s="17"/>
      <c r="W6" s="17" t="s">
        <v>264</v>
      </c>
      <c r="X6" s="17" t="s">
        <v>272</v>
      </c>
    </row>
    <row r="7" spans="1:46" x14ac:dyDescent="0.25">
      <c r="A7" s="17">
        <v>5</v>
      </c>
      <c r="B7" s="17" t="s">
        <v>130</v>
      </c>
      <c r="C7" s="17" t="s">
        <v>131</v>
      </c>
      <c r="D7" s="17" t="s">
        <v>316</v>
      </c>
      <c r="E7" s="17" t="s">
        <v>220</v>
      </c>
      <c r="F7" s="17" t="s">
        <v>221</v>
      </c>
      <c r="G7" s="17" t="s">
        <v>253</v>
      </c>
      <c r="H7" s="17" t="s">
        <v>254</v>
      </c>
      <c r="I7" s="36" t="s">
        <v>259</v>
      </c>
      <c r="J7" s="17" t="s">
        <v>249</v>
      </c>
      <c r="K7" s="17" t="s">
        <v>267</v>
      </c>
      <c r="L7" s="17" t="s">
        <v>268</v>
      </c>
      <c r="M7" s="17" t="s">
        <v>269</v>
      </c>
      <c r="N7" s="17" t="s">
        <v>270</v>
      </c>
      <c r="O7" s="17" t="s">
        <v>265</v>
      </c>
      <c r="P7" s="17">
        <v>38</v>
      </c>
      <c r="Q7" s="17" t="s">
        <v>271</v>
      </c>
      <c r="R7" s="17" t="s">
        <v>261</v>
      </c>
      <c r="S7" s="17" t="s">
        <v>262</v>
      </c>
      <c r="T7" s="17" t="s">
        <v>262</v>
      </c>
      <c r="U7" s="52">
        <v>7.0000000000000007E-2</v>
      </c>
      <c r="V7" s="17"/>
      <c r="W7" s="17" t="s">
        <v>264</v>
      </c>
      <c r="X7" s="17" t="s">
        <v>272</v>
      </c>
    </row>
    <row r="8" spans="1:46" x14ac:dyDescent="0.25">
      <c r="A8" s="17">
        <v>6</v>
      </c>
      <c r="B8" s="17" t="s">
        <v>132</v>
      </c>
      <c r="C8" s="17" t="s">
        <v>133</v>
      </c>
      <c r="D8" s="17" t="s">
        <v>317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46" x14ac:dyDescent="0.25">
      <c r="A9" s="17">
        <v>7</v>
      </c>
      <c r="B9" s="17" t="s">
        <v>134</v>
      </c>
      <c r="C9" s="17" t="s">
        <v>135</v>
      </c>
      <c r="D9" s="17" t="s">
        <v>318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46" x14ac:dyDescent="0.25">
      <c r="A10" s="17">
        <v>8</v>
      </c>
      <c r="B10" s="17" t="s">
        <v>136</v>
      </c>
      <c r="C10" s="17" t="s">
        <v>137</v>
      </c>
      <c r="D10" s="17" t="s">
        <v>319</v>
      </c>
      <c r="E10" s="17" t="s">
        <v>273</v>
      </c>
      <c r="F10" s="17" t="s">
        <v>286</v>
      </c>
      <c r="G10" s="17" t="s">
        <v>287</v>
      </c>
      <c r="H10" s="17" t="s">
        <v>417</v>
      </c>
      <c r="I10" s="17" t="s">
        <v>288</v>
      </c>
      <c r="J10" s="17" t="s">
        <v>249</v>
      </c>
      <c r="K10" s="17" t="s">
        <v>267</v>
      </c>
      <c r="L10" s="17" t="s">
        <v>268</v>
      </c>
      <c r="M10" s="17" t="s">
        <v>269</v>
      </c>
      <c r="N10" s="17" t="s">
        <v>270</v>
      </c>
      <c r="O10" s="17" t="s">
        <v>292</v>
      </c>
      <c r="P10" s="17">
        <v>55</v>
      </c>
      <c r="Q10" s="17" t="s">
        <v>271</v>
      </c>
      <c r="R10" s="17" t="s">
        <v>294</v>
      </c>
      <c r="S10" s="17" t="s">
        <v>295</v>
      </c>
      <c r="T10" s="17" t="s">
        <v>295</v>
      </c>
      <c r="U10" s="52">
        <v>0.05</v>
      </c>
      <c r="V10" s="17"/>
      <c r="W10" s="17" t="s">
        <v>264</v>
      </c>
      <c r="X10" s="17" t="s">
        <v>272</v>
      </c>
    </row>
    <row r="11" spans="1:46" x14ac:dyDescent="0.25">
      <c r="A11" s="17">
        <v>9</v>
      </c>
      <c r="B11" s="17" t="s">
        <v>138</v>
      </c>
      <c r="C11" s="17" t="s">
        <v>139</v>
      </c>
      <c r="D11" s="17" t="s">
        <v>320</v>
      </c>
      <c r="E11" s="17" t="s">
        <v>273</v>
      </c>
      <c r="F11" s="17" t="s">
        <v>286</v>
      </c>
      <c r="G11" s="17" t="s">
        <v>287</v>
      </c>
      <c r="H11" s="17" t="s">
        <v>417</v>
      </c>
      <c r="I11" s="17" t="s">
        <v>288</v>
      </c>
      <c r="J11" s="17" t="s">
        <v>249</v>
      </c>
      <c r="K11" s="17" t="s">
        <v>267</v>
      </c>
      <c r="L11" s="17" t="s">
        <v>268</v>
      </c>
      <c r="M11" s="17" t="s">
        <v>269</v>
      </c>
      <c r="N11" s="17" t="s">
        <v>270</v>
      </c>
      <c r="O11" s="17" t="s">
        <v>292</v>
      </c>
      <c r="P11" s="17">
        <v>55</v>
      </c>
      <c r="Q11" s="17" t="s">
        <v>271</v>
      </c>
      <c r="R11" s="17" t="s">
        <v>294</v>
      </c>
      <c r="S11" s="17" t="s">
        <v>295</v>
      </c>
      <c r="T11" s="17" t="s">
        <v>295</v>
      </c>
      <c r="U11" s="52">
        <v>0.05</v>
      </c>
      <c r="V11" s="17"/>
      <c r="W11" s="17" t="s">
        <v>264</v>
      </c>
      <c r="X11" s="17" t="s">
        <v>272</v>
      </c>
    </row>
    <row r="12" spans="1:46" x14ac:dyDescent="0.25">
      <c r="A12" s="17">
        <v>10</v>
      </c>
      <c r="B12" s="17" t="s">
        <v>140</v>
      </c>
      <c r="C12" s="17" t="s">
        <v>141</v>
      </c>
      <c r="D12" s="17" t="s">
        <v>432</v>
      </c>
      <c r="E12" s="17" t="s">
        <v>273</v>
      </c>
      <c r="F12" s="17" t="s">
        <v>286</v>
      </c>
      <c r="G12" s="17" t="s">
        <v>287</v>
      </c>
      <c r="H12" s="17" t="s">
        <v>417</v>
      </c>
      <c r="I12" s="17" t="s">
        <v>288</v>
      </c>
      <c r="J12" s="17" t="s">
        <v>249</v>
      </c>
      <c r="K12" s="17" t="s">
        <v>267</v>
      </c>
      <c r="L12" s="17" t="s">
        <v>268</v>
      </c>
      <c r="M12" s="17" t="s">
        <v>269</v>
      </c>
      <c r="N12" s="17" t="s">
        <v>270</v>
      </c>
      <c r="O12" s="17" t="s">
        <v>292</v>
      </c>
      <c r="P12" s="17">
        <v>55</v>
      </c>
      <c r="Q12" s="17" t="s">
        <v>271</v>
      </c>
      <c r="R12" s="17" t="s">
        <v>294</v>
      </c>
      <c r="S12" s="17" t="s">
        <v>295</v>
      </c>
      <c r="T12" s="17" t="s">
        <v>295</v>
      </c>
      <c r="U12" s="52">
        <v>0.05</v>
      </c>
      <c r="V12" s="17"/>
      <c r="W12" s="17" t="s">
        <v>264</v>
      </c>
      <c r="X12" s="17" t="s">
        <v>272</v>
      </c>
    </row>
    <row r="13" spans="1:46" x14ac:dyDescent="0.25">
      <c r="A13" s="7">
        <v>11</v>
      </c>
      <c r="B13" s="7" t="s">
        <v>142</v>
      </c>
      <c r="C13" s="7" t="s">
        <v>143</v>
      </c>
      <c r="D13" s="17" t="s">
        <v>684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46" x14ac:dyDescent="0.25">
      <c r="A14" s="7">
        <v>12</v>
      </c>
      <c r="B14" s="7" t="s">
        <v>144</v>
      </c>
      <c r="C14" s="7" t="s">
        <v>145</v>
      </c>
      <c r="D14" s="17" t="s">
        <v>685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46" x14ac:dyDescent="0.25">
      <c r="A15" s="7">
        <v>13</v>
      </c>
      <c r="B15" s="7" t="s">
        <v>146</v>
      </c>
      <c r="C15" s="7" t="s">
        <v>147</v>
      </c>
      <c r="D15" s="17" t="s">
        <v>686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46" x14ac:dyDescent="0.25">
      <c r="A16" s="7">
        <v>14</v>
      </c>
      <c r="B16" s="7" t="s">
        <v>148</v>
      </c>
      <c r="C16" s="7" t="s">
        <v>149</v>
      </c>
      <c r="D16" s="17" t="s">
        <v>687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5">
      <c r="A17" s="7">
        <v>15</v>
      </c>
      <c r="B17" s="7" t="s">
        <v>150</v>
      </c>
      <c r="C17" s="7" t="s">
        <v>151</v>
      </c>
      <c r="D17" s="17" t="s">
        <v>688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5">
      <c r="A18" s="48">
        <v>16</v>
      </c>
      <c r="B18" s="48" t="s">
        <v>152</v>
      </c>
      <c r="C18" s="48" t="s">
        <v>153</v>
      </c>
      <c r="D18" s="48" t="s">
        <v>689</v>
      </c>
      <c r="E18" s="48" t="s">
        <v>735</v>
      </c>
      <c r="F18" s="48" t="s">
        <v>390</v>
      </c>
      <c r="G18" s="48" t="s">
        <v>722</v>
      </c>
      <c r="H18" s="48" t="s">
        <v>542</v>
      </c>
      <c r="I18" s="48" t="s">
        <v>736</v>
      </c>
      <c r="J18" s="48" t="s">
        <v>600</v>
      </c>
      <c r="K18" s="48" t="s">
        <v>737</v>
      </c>
      <c r="L18" s="48" t="s">
        <v>724</v>
      </c>
      <c r="M18" s="48" t="s">
        <v>725</v>
      </c>
      <c r="N18" s="48" t="s">
        <v>726</v>
      </c>
      <c r="O18" s="48" t="s">
        <v>726</v>
      </c>
      <c r="P18" s="48">
        <v>1</v>
      </c>
      <c r="Q18" s="48" t="s">
        <v>736</v>
      </c>
      <c r="R18" s="48" t="s">
        <v>728</v>
      </c>
      <c r="S18" s="48" t="s">
        <v>729</v>
      </c>
      <c r="T18" s="48" t="s">
        <v>730</v>
      </c>
      <c r="U18" s="61" t="s">
        <v>731</v>
      </c>
      <c r="V18" s="48" t="s">
        <v>732</v>
      </c>
      <c r="W18" s="48" t="s">
        <v>733</v>
      </c>
      <c r="X18" s="48" t="s">
        <v>734</v>
      </c>
    </row>
    <row r="19" spans="1:24" x14ac:dyDescent="0.25">
      <c r="A19" s="17">
        <v>17</v>
      </c>
      <c r="B19" s="17" t="s">
        <v>154</v>
      </c>
      <c r="C19" s="17" t="s">
        <v>155</v>
      </c>
      <c r="D19" s="17" t="s">
        <v>690</v>
      </c>
      <c r="E19" s="17" t="s">
        <v>273</v>
      </c>
      <c r="F19" s="17" t="s">
        <v>286</v>
      </c>
      <c r="G19" s="17" t="s">
        <v>287</v>
      </c>
      <c r="H19" s="17" t="s">
        <v>417</v>
      </c>
      <c r="I19" s="17" t="s">
        <v>288</v>
      </c>
      <c r="J19" s="17" t="s">
        <v>249</v>
      </c>
      <c r="K19" s="17" t="s">
        <v>267</v>
      </c>
      <c r="L19" s="17" t="s">
        <v>268</v>
      </c>
      <c r="M19" s="17" t="s">
        <v>269</v>
      </c>
      <c r="N19" s="17" t="s">
        <v>270</v>
      </c>
      <c r="O19" s="17" t="s">
        <v>292</v>
      </c>
      <c r="P19" s="17">
        <v>55</v>
      </c>
      <c r="Q19" s="17" t="s">
        <v>271</v>
      </c>
      <c r="R19" s="17" t="s">
        <v>294</v>
      </c>
      <c r="S19" s="17" t="s">
        <v>295</v>
      </c>
      <c r="T19" s="17" t="s">
        <v>295</v>
      </c>
      <c r="U19" s="52">
        <v>0.05</v>
      </c>
      <c r="V19" s="17"/>
      <c r="W19" s="17" t="s">
        <v>264</v>
      </c>
      <c r="X19" s="17" t="s">
        <v>272</v>
      </c>
    </row>
    <row r="20" spans="1:24" x14ac:dyDescent="0.25">
      <c r="A20" s="7">
        <v>18</v>
      </c>
      <c r="B20" s="7" t="s">
        <v>156</v>
      </c>
      <c r="C20" s="7" t="s">
        <v>157</v>
      </c>
      <c r="D20" s="17" t="s">
        <v>691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5">
      <c r="A21" s="7">
        <v>19</v>
      </c>
      <c r="B21" s="7" t="s">
        <v>158</v>
      </c>
      <c r="C21" s="7" t="s">
        <v>159</v>
      </c>
      <c r="D21" s="17" t="s">
        <v>692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5">
      <c r="A22" s="7">
        <v>20</v>
      </c>
      <c r="B22" s="7" t="s">
        <v>160</v>
      </c>
      <c r="C22" s="7" t="s">
        <v>161</v>
      </c>
      <c r="D22" s="17" t="s">
        <v>693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5">
      <c r="A23" s="7">
        <v>21</v>
      </c>
      <c r="B23" s="7" t="s">
        <v>162</v>
      </c>
      <c r="C23" s="7" t="s">
        <v>163</v>
      </c>
      <c r="D23" s="17" t="s">
        <v>694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5">
      <c r="A24" s="7">
        <v>22</v>
      </c>
      <c r="B24" s="7" t="s">
        <v>164</v>
      </c>
      <c r="C24" s="7" t="s">
        <v>165</v>
      </c>
      <c r="D24" s="17" t="s">
        <v>695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5">
      <c r="A25" s="7">
        <v>23</v>
      </c>
      <c r="B25" s="7" t="s">
        <v>166</v>
      </c>
      <c r="C25" s="7" t="s">
        <v>167</v>
      </c>
      <c r="D25" s="17" t="s">
        <v>696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5">
      <c r="A26" s="7">
        <v>24</v>
      </c>
      <c r="B26" s="7" t="s">
        <v>168</v>
      </c>
      <c r="C26" s="7" t="s">
        <v>169</v>
      </c>
      <c r="D26" s="17" t="s">
        <v>697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5">
      <c r="A27" s="8">
        <v>25</v>
      </c>
      <c r="B27" s="7" t="s">
        <v>170</v>
      </c>
      <c r="C27" s="7" t="s">
        <v>171</v>
      </c>
      <c r="D27" s="17" t="s">
        <v>698</v>
      </c>
      <c r="E27" s="7"/>
      <c r="F27" s="7"/>
      <c r="G27" s="7"/>
      <c r="H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5">
      <c r="A28" s="8">
        <v>26</v>
      </c>
      <c r="B28" s="7" t="s">
        <v>172</v>
      </c>
      <c r="C28" s="7" t="s">
        <v>173</v>
      </c>
      <c r="D28" s="17" t="s">
        <v>699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5">
      <c r="A29" s="7">
        <v>27</v>
      </c>
      <c r="B29" s="7" t="s">
        <v>174</v>
      </c>
      <c r="C29" s="7" t="s">
        <v>175</v>
      </c>
      <c r="D29" s="17" t="s">
        <v>700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5">
      <c r="A30" s="7">
        <v>28</v>
      </c>
      <c r="B30" s="7" t="s">
        <v>176</v>
      </c>
      <c r="C30" s="7" t="s">
        <v>177</v>
      </c>
      <c r="D30" s="17" t="s">
        <v>701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5">
      <c r="A31" s="7">
        <v>29</v>
      </c>
      <c r="B31" s="7" t="s">
        <v>178</v>
      </c>
      <c r="C31" s="7" t="s">
        <v>179</v>
      </c>
      <c r="D31" s="17" t="s">
        <v>702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5">
      <c r="A32" s="7">
        <v>30</v>
      </c>
      <c r="B32" s="7" t="s">
        <v>180</v>
      </c>
      <c r="C32" s="7" t="s">
        <v>181</v>
      </c>
      <c r="D32" s="17" t="s">
        <v>703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5">
      <c r="A33" s="7">
        <v>31</v>
      </c>
      <c r="B33" s="7" t="s">
        <v>182</v>
      </c>
      <c r="C33" s="7" t="s">
        <v>183</v>
      </c>
      <c r="D33" s="17" t="s">
        <v>704</v>
      </c>
      <c r="E33" s="17" t="s">
        <v>735</v>
      </c>
      <c r="F33" s="17" t="s">
        <v>390</v>
      </c>
      <c r="G33" s="17" t="s">
        <v>722</v>
      </c>
      <c r="H33" s="17" t="s">
        <v>542</v>
      </c>
      <c r="I33" s="17" t="s">
        <v>736</v>
      </c>
      <c r="J33" s="17" t="s">
        <v>600</v>
      </c>
      <c r="K33" s="17" t="s">
        <v>737</v>
      </c>
      <c r="L33" s="17" t="s">
        <v>724</v>
      </c>
      <c r="M33" s="17" t="s">
        <v>725</v>
      </c>
      <c r="N33" s="17" t="s">
        <v>726</v>
      </c>
      <c r="O33" s="17" t="s">
        <v>726</v>
      </c>
      <c r="P33" s="17">
        <v>1</v>
      </c>
      <c r="Q33" s="17" t="s">
        <v>736</v>
      </c>
      <c r="R33" s="17" t="s">
        <v>728</v>
      </c>
      <c r="S33" s="17" t="s">
        <v>729</v>
      </c>
      <c r="T33" s="17" t="s">
        <v>730</v>
      </c>
      <c r="U33" s="52" t="s">
        <v>731</v>
      </c>
      <c r="V33" s="17" t="s">
        <v>732</v>
      </c>
      <c r="W33" s="17" t="s">
        <v>733</v>
      </c>
      <c r="X33" s="17" t="s">
        <v>734</v>
      </c>
    </row>
    <row r="34" spans="1:24" x14ac:dyDescent="0.25">
      <c r="A34" s="7">
        <v>32</v>
      </c>
      <c r="B34" s="7" t="s">
        <v>184</v>
      </c>
      <c r="C34" s="7" t="s">
        <v>185</v>
      </c>
      <c r="D34" s="17" t="s">
        <v>705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5">
      <c r="A35" s="7">
        <v>33</v>
      </c>
      <c r="B35" s="7" t="s">
        <v>186</v>
      </c>
      <c r="C35" s="7" t="s">
        <v>187</v>
      </c>
      <c r="D35" s="17" t="s">
        <v>706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5">
      <c r="A36" s="7">
        <v>34</v>
      </c>
      <c r="B36" s="7" t="s">
        <v>188</v>
      </c>
      <c r="C36" s="7" t="s">
        <v>189</v>
      </c>
      <c r="D36" s="17" t="s">
        <v>707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5">
      <c r="A37" s="7">
        <v>35</v>
      </c>
      <c r="B37" s="7" t="s">
        <v>190</v>
      </c>
      <c r="C37" s="7" t="s">
        <v>191</v>
      </c>
      <c r="D37" s="17" t="s">
        <v>708</v>
      </c>
      <c r="E37" s="17" t="s">
        <v>735</v>
      </c>
      <c r="F37" s="17" t="s">
        <v>390</v>
      </c>
      <c r="G37" s="17" t="s">
        <v>722</v>
      </c>
      <c r="H37" s="17" t="s">
        <v>542</v>
      </c>
      <c r="I37" s="17" t="s">
        <v>736</v>
      </c>
      <c r="J37" s="17" t="s">
        <v>600</v>
      </c>
      <c r="K37" s="17" t="s">
        <v>737</v>
      </c>
      <c r="L37" s="17" t="s">
        <v>724</v>
      </c>
      <c r="M37" s="17" t="s">
        <v>725</v>
      </c>
      <c r="N37" s="17" t="s">
        <v>726</v>
      </c>
      <c r="O37" s="17" t="s">
        <v>726</v>
      </c>
      <c r="P37" s="17">
        <v>1</v>
      </c>
      <c r="Q37" s="17" t="s">
        <v>736</v>
      </c>
      <c r="R37" s="17" t="s">
        <v>728</v>
      </c>
      <c r="S37" s="17" t="s">
        <v>729</v>
      </c>
      <c r="T37" s="17" t="s">
        <v>730</v>
      </c>
      <c r="U37" s="52" t="s">
        <v>731</v>
      </c>
      <c r="V37" s="17" t="s">
        <v>732</v>
      </c>
      <c r="W37" s="17" t="s">
        <v>733</v>
      </c>
      <c r="X37" s="17" t="s">
        <v>734</v>
      </c>
    </row>
    <row r="38" spans="1:24" x14ac:dyDescent="0.25">
      <c r="A38" s="7">
        <v>36</v>
      </c>
      <c r="B38" s="7" t="s">
        <v>192</v>
      </c>
      <c r="C38" s="7" t="s">
        <v>193</v>
      </c>
      <c r="D38" s="17" t="s">
        <v>709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5">
      <c r="A39" s="7">
        <v>37</v>
      </c>
      <c r="B39" s="7" t="s">
        <v>194</v>
      </c>
      <c r="C39" s="7" t="s">
        <v>195</v>
      </c>
      <c r="D39" s="17" t="s">
        <v>710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5">
      <c r="A40" s="7">
        <v>38</v>
      </c>
      <c r="B40" s="7" t="s">
        <v>196</v>
      </c>
      <c r="C40" s="7" t="s">
        <v>197</v>
      </c>
      <c r="D40" s="17" t="s">
        <v>711</v>
      </c>
      <c r="E40" s="17" t="s">
        <v>581</v>
      </c>
      <c r="F40" s="17" t="s">
        <v>582</v>
      </c>
      <c r="G40" s="17" t="s">
        <v>776</v>
      </c>
      <c r="H40" s="17" t="s">
        <v>777</v>
      </c>
      <c r="I40" s="17" t="s">
        <v>670</v>
      </c>
      <c r="J40" s="17" t="s">
        <v>671</v>
      </c>
      <c r="K40" s="17" t="s">
        <v>672</v>
      </c>
      <c r="L40" s="17" t="s">
        <v>673</v>
      </c>
      <c r="M40" s="17" t="s">
        <v>674</v>
      </c>
      <c r="N40" s="17" t="s">
        <v>675</v>
      </c>
      <c r="O40" s="17" t="s">
        <v>593</v>
      </c>
      <c r="P40" s="17">
        <v>40</v>
      </c>
      <c r="Q40" s="17" t="s">
        <v>676</v>
      </c>
      <c r="R40" s="17" t="s">
        <v>677</v>
      </c>
      <c r="S40" s="17" t="s">
        <v>678</v>
      </c>
      <c r="T40" s="17" t="s">
        <v>679</v>
      </c>
      <c r="U40" s="52" t="s">
        <v>680</v>
      </c>
      <c r="V40" s="17" t="s">
        <v>681</v>
      </c>
      <c r="W40" s="17" t="s">
        <v>682</v>
      </c>
      <c r="X40" s="17" t="s">
        <v>683</v>
      </c>
    </row>
    <row r="41" spans="1:24" x14ac:dyDescent="0.25">
      <c r="A41" s="7">
        <v>39</v>
      </c>
      <c r="B41" s="7" t="s">
        <v>198</v>
      </c>
      <c r="C41" s="7" t="s">
        <v>199</v>
      </c>
      <c r="D41" s="17" t="s">
        <v>712</v>
      </c>
      <c r="E41" s="17" t="s">
        <v>668</v>
      </c>
      <c r="F41" s="17" t="s">
        <v>486</v>
      </c>
      <c r="G41" s="17" t="s">
        <v>669</v>
      </c>
      <c r="H41" s="17" t="s">
        <v>542</v>
      </c>
      <c r="I41" s="17" t="s">
        <v>670</v>
      </c>
      <c r="J41" s="17" t="s">
        <v>671</v>
      </c>
      <c r="K41" s="17" t="s">
        <v>672</v>
      </c>
      <c r="L41" s="17" t="s">
        <v>673</v>
      </c>
      <c r="M41" s="17" t="s">
        <v>674</v>
      </c>
      <c r="N41" s="17" t="s">
        <v>675</v>
      </c>
      <c r="O41" s="17" t="s">
        <v>593</v>
      </c>
      <c r="P41" s="17">
        <v>40</v>
      </c>
      <c r="Q41" s="17" t="s">
        <v>676</v>
      </c>
      <c r="R41" s="17" t="s">
        <v>677</v>
      </c>
      <c r="S41" s="17" t="s">
        <v>678</v>
      </c>
      <c r="T41" s="17" t="s">
        <v>679</v>
      </c>
      <c r="U41" s="52" t="s">
        <v>680</v>
      </c>
      <c r="V41" s="17" t="s">
        <v>681</v>
      </c>
      <c r="W41" s="17" t="s">
        <v>682</v>
      </c>
      <c r="X41" s="17" t="s">
        <v>683</v>
      </c>
    </row>
    <row r="42" spans="1:24" x14ac:dyDescent="0.25">
      <c r="A42" s="7">
        <v>40</v>
      </c>
      <c r="B42" s="7" t="s">
        <v>200</v>
      </c>
      <c r="C42" s="7" t="s">
        <v>201</v>
      </c>
      <c r="D42" s="17" t="s">
        <v>713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5">
      <c r="A43" s="7">
        <v>41</v>
      </c>
      <c r="B43" s="7" t="s">
        <v>202</v>
      </c>
      <c r="C43" s="7" t="s">
        <v>203</v>
      </c>
      <c r="D43" s="17" t="s">
        <v>714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5">
      <c r="A44" s="7">
        <v>42</v>
      </c>
      <c r="B44" s="7" t="s">
        <v>204</v>
      </c>
      <c r="C44" s="7" t="s">
        <v>205</v>
      </c>
      <c r="D44" s="17" t="s">
        <v>715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7"/>
      <c r="V44" s="86"/>
      <c r="W44" s="86"/>
      <c r="X44" s="86"/>
    </row>
    <row r="45" spans="1:24" x14ac:dyDescent="0.25">
      <c r="A45" s="48">
        <v>43</v>
      </c>
      <c r="B45" s="48" t="s">
        <v>206</v>
      </c>
      <c r="C45" s="48" t="s">
        <v>207</v>
      </c>
      <c r="D45" s="48" t="s">
        <v>716</v>
      </c>
      <c r="E45" s="60" t="s">
        <v>735</v>
      </c>
      <c r="F45" s="60" t="s">
        <v>390</v>
      </c>
      <c r="G45" s="60" t="s">
        <v>722</v>
      </c>
      <c r="H45" s="60" t="s">
        <v>542</v>
      </c>
      <c r="I45" s="60" t="s">
        <v>723</v>
      </c>
      <c r="J45" s="60" t="s">
        <v>671</v>
      </c>
      <c r="K45" s="60" t="s">
        <v>267</v>
      </c>
      <c r="L45" s="60" t="s">
        <v>724</v>
      </c>
      <c r="M45" s="60" t="s">
        <v>725</v>
      </c>
      <c r="N45" s="60" t="s">
        <v>726</v>
      </c>
      <c r="O45" s="60" t="s">
        <v>726</v>
      </c>
      <c r="P45" s="60">
        <v>80</v>
      </c>
      <c r="Q45" s="60" t="s">
        <v>727</v>
      </c>
      <c r="R45" s="60" t="s">
        <v>728</v>
      </c>
      <c r="S45" s="60" t="s">
        <v>729</v>
      </c>
      <c r="T45" s="60" t="s">
        <v>730</v>
      </c>
      <c r="U45" s="85" t="s">
        <v>731</v>
      </c>
      <c r="V45" s="60" t="s">
        <v>732</v>
      </c>
      <c r="W45" s="60" t="s">
        <v>733</v>
      </c>
      <c r="X45" s="60" t="s">
        <v>734</v>
      </c>
    </row>
    <row r="46" spans="1:24" x14ac:dyDescent="0.25">
      <c r="A46" s="48">
        <v>44</v>
      </c>
      <c r="B46" s="48" t="s">
        <v>208</v>
      </c>
      <c r="C46" s="48" t="s">
        <v>209</v>
      </c>
      <c r="D46" s="48" t="s">
        <v>717</v>
      </c>
      <c r="E46" s="48" t="s">
        <v>735</v>
      </c>
      <c r="F46" s="48" t="s">
        <v>390</v>
      </c>
      <c r="G46" s="48" t="s">
        <v>722</v>
      </c>
      <c r="H46" s="48" t="s">
        <v>542</v>
      </c>
      <c r="I46" s="48" t="s">
        <v>723</v>
      </c>
      <c r="J46" s="48" t="s">
        <v>671</v>
      </c>
      <c r="K46" s="48" t="s">
        <v>267</v>
      </c>
      <c r="L46" s="48" t="s">
        <v>724</v>
      </c>
      <c r="M46" s="48" t="s">
        <v>725</v>
      </c>
      <c r="N46" s="48" t="s">
        <v>726</v>
      </c>
      <c r="O46" s="48" t="s">
        <v>726</v>
      </c>
      <c r="P46" s="48">
        <v>80</v>
      </c>
      <c r="Q46" s="48" t="s">
        <v>727</v>
      </c>
      <c r="R46" s="48" t="s">
        <v>728</v>
      </c>
      <c r="S46" s="48" t="s">
        <v>729</v>
      </c>
      <c r="T46" s="48" t="s">
        <v>730</v>
      </c>
      <c r="U46" s="61" t="s">
        <v>731</v>
      </c>
      <c r="V46" s="48" t="s">
        <v>732</v>
      </c>
      <c r="W46" s="48" t="s">
        <v>733</v>
      </c>
      <c r="X46" s="48" t="s">
        <v>734</v>
      </c>
    </row>
    <row r="47" spans="1:24" x14ac:dyDescent="0.25">
      <c r="A47" s="48">
        <v>45</v>
      </c>
      <c r="B47" s="48" t="s">
        <v>210</v>
      </c>
      <c r="C47" s="48" t="s">
        <v>211</v>
      </c>
      <c r="D47" s="48" t="s">
        <v>718</v>
      </c>
      <c r="E47" s="48" t="s">
        <v>795</v>
      </c>
      <c r="F47" s="48" t="s">
        <v>486</v>
      </c>
      <c r="G47" s="48" t="s">
        <v>796</v>
      </c>
      <c r="H47" s="48"/>
      <c r="I47" s="48" t="s">
        <v>784</v>
      </c>
      <c r="J47" s="48" t="s">
        <v>784</v>
      </c>
      <c r="K47" s="48" t="s">
        <v>290</v>
      </c>
      <c r="L47" s="48" t="s">
        <v>279</v>
      </c>
      <c r="M47" s="48" t="s">
        <v>785</v>
      </c>
      <c r="N47" s="48" t="s">
        <v>787</v>
      </c>
      <c r="O47" s="48" t="s">
        <v>786</v>
      </c>
      <c r="P47" s="48">
        <v>4</v>
      </c>
      <c r="Q47" s="48" t="s">
        <v>788</v>
      </c>
      <c r="R47" s="48" t="s">
        <v>789</v>
      </c>
      <c r="S47" s="48" t="s">
        <v>729</v>
      </c>
      <c r="T47" s="48" t="s">
        <v>730</v>
      </c>
      <c r="U47" s="61" t="s">
        <v>731</v>
      </c>
      <c r="V47" s="48" t="s">
        <v>732</v>
      </c>
      <c r="W47" s="48" t="s">
        <v>733</v>
      </c>
      <c r="X47" s="48" t="s">
        <v>734</v>
      </c>
    </row>
    <row r="48" spans="1:24" x14ac:dyDescent="0.25">
      <c r="A48" s="48">
        <v>46</v>
      </c>
      <c r="B48" s="48" t="s">
        <v>212</v>
      </c>
      <c r="C48" s="48" t="s">
        <v>213</v>
      </c>
      <c r="D48" s="48" t="s">
        <v>719</v>
      </c>
      <c r="E48" s="48" t="s">
        <v>783</v>
      </c>
      <c r="F48" s="48"/>
      <c r="G48" s="48"/>
      <c r="H48" s="48"/>
      <c r="I48" s="48"/>
      <c r="J48" s="48" t="s">
        <v>784</v>
      </c>
      <c r="K48" s="48">
        <v>208</v>
      </c>
      <c r="L48" s="48"/>
      <c r="M48" s="48" t="s">
        <v>785</v>
      </c>
      <c r="N48" s="48" t="s">
        <v>787</v>
      </c>
      <c r="O48" s="48" t="s">
        <v>786</v>
      </c>
      <c r="P48" s="48">
        <v>4</v>
      </c>
      <c r="Q48" s="48" t="s">
        <v>788</v>
      </c>
      <c r="R48" s="48" t="s">
        <v>789</v>
      </c>
      <c r="S48" s="48" t="s">
        <v>729</v>
      </c>
      <c r="T48" s="48" t="s">
        <v>730</v>
      </c>
      <c r="U48" s="61" t="s">
        <v>731</v>
      </c>
      <c r="V48" s="48" t="s">
        <v>732</v>
      </c>
      <c r="W48" s="48" t="s">
        <v>733</v>
      </c>
      <c r="X48" s="48" t="s">
        <v>734</v>
      </c>
    </row>
    <row r="49" spans="1:24" x14ac:dyDescent="0.25">
      <c r="A49" s="7">
        <v>47</v>
      </c>
      <c r="B49" s="7" t="s">
        <v>214</v>
      </c>
      <c r="C49" s="7" t="s">
        <v>215</v>
      </c>
      <c r="D49" s="17" t="s">
        <v>720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5.75" thickBot="1" x14ac:dyDescent="0.3">
      <c r="A50" s="9">
        <v>48</v>
      </c>
      <c r="B50" s="9" t="s">
        <v>216</v>
      </c>
      <c r="C50" s="9" t="s">
        <v>217</v>
      </c>
      <c r="D50" s="17" t="s">
        <v>721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.75" thickTop="1" x14ac:dyDescent="0.25"/>
  </sheetData>
  <mergeCells count="1">
    <mergeCell ref="A1:X1"/>
  </mergeCells>
  <phoneticPr fontId="29" type="noConversion"/>
  <pageMargins left="0.31496062992125984" right="0.19685039370078741" top="0.15748031496062992" bottom="0.15748031496062992" header="0.31496062992125984" footer="0.31496062992125984"/>
  <pageSetup scale="74" orientation="landscape" r:id="rId1"/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AG51"/>
  <sheetViews>
    <sheetView topLeftCell="A15" zoomScaleNormal="100" workbookViewId="0">
      <selection activeCell="E52" sqref="E52"/>
    </sheetView>
  </sheetViews>
  <sheetFormatPr defaultRowHeight="15" x14ac:dyDescent="0.25"/>
  <cols>
    <col min="1" max="1" width="7.42578125" customWidth="1"/>
    <col min="2" max="2" width="37.28515625" customWidth="1"/>
    <col min="3" max="4" width="16" customWidth="1"/>
    <col min="5" max="5" width="13.28515625" customWidth="1"/>
    <col min="6" max="6" width="21.28515625" customWidth="1"/>
    <col min="7" max="7" width="25.28515625" customWidth="1"/>
    <col min="8" max="8" width="21.140625" customWidth="1"/>
    <col min="9" max="9" width="17.85546875" customWidth="1"/>
    <col min="10" max="10" width="12.28515625" customWidth="1"/>
    <col min="11" max="11" width="11.42578125" customWidth="1"/>
    <col min="12" max="12" width="13" customWidth="1"/>
    <col min="13" max="13" width="11.5703125" customWidth="1"/>
    <col min="14" max="14" width="9.7109375" customWidth="1"/>
    <col min="15" max="15" width="8.7109375" customWidth="1"/>
    <col min="16" max="17" width="7.5703125" customWidth="1"/>
    <col min="18" max="18" width="9.5703125" customWidth="1"/>
    <col min="19" max="24" width="7.5703125" customWidth="1"/>
    <col min="25" max="25" width="10.42578125" customWidth="1"/>
    <col min="26" max="30" width="7.5703125" customWidth="1"/>
  </cols>
  <sheetData>
    <row r="1" spans="1:33" ht="24.75" thickTop="1" thickBot="1" x14ac:dyDescent="0.4">
      <c r="A1" s="78" t="s">
        <v>87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80"/>
    </row>
    <row r="2" spans="1:33" ht="102.75" customHeight="1" thickTop="1" thickBot="1" x14ac:dyDescent="0.3">
      <c r="A2" s="22" t="s">
        <v>218</v>
      </c>
      <c r="B2" s="14" t="s">
        <v>120</v>
      </c>
      <c r="C2" s="14" t="s">
        <v>121</v>
      </c>
      <c r="D2" s="14" t="s">
        <v>240</v>
      </c>
      <c r="E2" s="23" t="s">
        <v>9</v>
      </c>
      <c r="F2" s="23" t="s">
        <v>48</v>
      </c>
      <c r="G2" s="23" t="s">
        <v>63</v>
      </c>
      <c r="H2" s="23" t="s">
        <v>65</v>
      </c>
      <c r="I2" s="23" t="s">
        <v>11</v>
      </c>
      <c r="J2" s="23" t="s">
        <v>92</v>
      </c>
      <c r="K2" s="23" t="s">
        <v>1</v>
      </c>
      <c r="L2" s="23" t="s">
        <v>68</v>
      </c>
      <c r="M2" s="23" t="s">
        <v>69</v>
      </c>
      <c r="N2" s="23" t="s">
        <v>91</v>
      </c>
      <c r="O2" s="23" t="s">
        <v>76</v>
      </c>
      <c r="P2" s="23" t="s">
        <v>73</v>
      </c>
      <c r="Q2" s="23" t="s">
        <v>5</v>
      </c>
      <c r="R2" s="23" t="s">
        <v>79</v>
      </c>
      <c r="S2" s="23" t="s">
        <v>90</v>
      </c>
      <c r="T2" s="23" t="s">
        <v>81</v>
      </c>
      <c r="U2" s="23" t="s">
        <v>83</v>
      </c>
      <c r="V2" s="23" t="s">
        <v>89</v>
      </c>
      <c r="W2" s="23" t="s">
        <v>4</v>
      </c>
      <c r="X2" s="23" t="s">
        <v>88</v>
      </c>
      <c r="Y2" s="44" t="s">
        <v>86</v>
      </c>
      <c r="Z2" s="39"/>
      <c r="AA2" s="3"/>
      <c r="AB2" s="3"/>
      <c r="AC2" s="3"/>
      <c r="AD2" s="3"/>
    </row>
    <row r="3" spans="1:33" ht="15.75" thickTop="1" x14ac:dyDescent="0.25">
      <c r="A3" s="31">
        <v>1</v>
      </c>
      <c r="B3" s="31" t="s">
        <v>122</v>
      </c>
      <c r="C3" s="31" t="s">
        <v>123</v>
      </c>
      <c r="D3" s="31" t="s">
        <v>362</v>
      </c>
      <c r="E3" s="31" t="s">
        <v>406</v>
      </c>
      <c r="F3" s="31" t="s">
        <v>390</v>
      </c>
      <c r="G3" s="31" t="s">
        <v>411</v>
      </c>
      <c r="H3" s="17" t="s">
        <v>392</v>
      </c>
      <c r="I3" s="17" t="s">
        <v>226</v>
      </c>
      <c r="J3" s="17" t="s">
        <v>227</v>
      </c>
      <c r="K3" s="17" t="s">
        <v>226</v>
      </c>
      <c r="L3" s="17" t="s">
        <v>248</v>
      </c>
      <c r="M3" s="17" t="s">
        <v>249</v>
      </c>
      <c r="N3" s="17" t="s">
        <v>250</v>
      </c>
      <c r="O3" s="17" t="s">
        <v>249</v>
      </c>
      <c r="P3" s="17"/>
      <c r="Q3" s="17" t="s">
        <v>263</v>
      </c>
      <c r="R3" s="17"/>
      <c r="S3" s="17"/>
      <c r="T3" s="17" t="s">
        <v>236</v>
      </c>
      <c r="U3" s="17" t="s">
        <v>237</v>
      </c>
      <c r="V3" s="17" t="s">
        <v>0</v>
      </c>
      <c r="W3" s="17" t="s">
        <v>251</v>
      </c>
      <c r="X3" s="17" t="s">
        <v>251</v>
      </c>
      <c r="Y3" s="17" t="s">
        <v>251</v>
      </c>
      <c r="Z3" s="43"/>
      <c r="AA3" s="37"/>
      <c r="AB3" s="40"/>
      <c r="AC3" s="41"/>
      <c r="AD3" s="41"/>
      <c r="AE3" s="41"/>
      <c r="AG3" s="41"/>
    </row>
    <row r="4" spans="1:33" x14ac:dyDescent="0.25">
      <c r="A4" s="17">
        <v>2</v>
      </c>
      <c r="B4" s="17" t="s">
        <v>124</v>
      </c>
      <c r="C4" s="17" t="s">
        <v>125</v>
      </c>
      <c r="D4" s="17" t="s">
        <v>321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33" x14ac:dyDescent="0.25">
      <c r="A5" s="17">
        <v>3</v>
      </c>
      <c r="B5" s="17" t="s">
        <v>126</v>
      </c>
      <c r="C5" s="17" t="s">
        <v>127</v>
      </c>
      <c r="D5" s="17" t="s">
        <v>363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33" x14ac:dyDescent="0.25">
      <c r="A6" s="17">
        <v>4</v>
      </c>
      <c r="B6" s="17" t="s">
        <v>128</v>
      </c>
      <c r="C6" s="17" t="s">
        <v>129</v>
      </c>
      <c r="D6" s="17" t="s">
        <v>364</v>
      </c>
      <c r="E6" s="17" t="s">
        <v>222</v>
      </c>
      <c r="F6" s="17" t="s">
        <v>223</v>
      </c>
      <c r="G6" s="17" t="s">
        <v>247</v>
      </c>
      <c r="H6" s="17" t="s">
        <v>412</v>
      </c>
      <c r="I6" s="17" t="s">
        <v>225</v>
      </c>
      <c r="J6" s="17" t="s">
        <v>226</v>
      </c>
      <c r="K6" s="17" t="s">
        <v>227</v>
      </c>
      <c r="L6" s="17" t="s">
        <v>226</v>
      </c>
      <c r="M6" s="17" t="s">
        <v>248</v>
      </c>
      <c r="N6" s="17" t="s">
        <v>249</v>
      </c>
      <c r="O6" s="17" t="s">
        <v>250</v>
      </c>
      <c r="P6" s="17" t="s">
        <v>249</v>
      </c>
      <c r="Q6" s="17"/>
      <c r="R6" s="17" t="s">
        <v>263</v>
      </c>
      <c r="S6" s="17"/>
      <c r="T6" s="17" t="s">
        <v>236</v>
      </c>
      <c r="U6" s="17" t="s">
        <v>237</v>
      </c>
      <c r="V6" s="17" t="s">
        <v>0</v>
      </c>
      <c r="W6" s="17" t="s">
        <v>251</v>
      </c>
      <c r="X6" s="17" t="s">
        <v>251</v>
      </c>
      <c r="Y6" s="17" t="s">
        <v>251</v>
      </c>
    </row>
    <row r="7" spans="1:33" x14ac:dyDescent="0.25">
      <c r="A7" s="17">
        <v>5</v>
      </c>
      <c r="B7" s="17" t="s">
        <v>130</v>
      </c>
      <c r="C7" s="17" t="s">
        <v>131</v>
      </c>
      <c r="D7" s="17" t="s">
        <v>365</v>
      </c>
      <c r="E7" s="17" t="s">
        <v>222</v>
      </c>
      <c r="F7" s="17" t="s">
        <v>223</v>
      </c>
      <c r="G7" s="17" t="s">
        <v>247</v>
      </c>
      <c r="H7" s="17" t="s">
        <v>276</v>
      </c>
      <c r="I7" s="17" t="s">
        <v>225</v>
      </c>
      <c r="J7" s="17" t="s">
        <v>226</v>
      </c>
      <c r="K7" s="17" t="s">
        <v>227</v>
      </c>
      <c r="L7" s="17" t="s">
        <v>226</v>
      </c>
      <c r="M7" s="17" t="s">
        <v>248</v>
      </c>
      <c r="N7" s="17" t="s">
        <v>249</v>
      </c>
      <c r="O7" s="17" t="s">
        <v>250</v>
      </c>
      <c r="P7" s="17" t="s">
        <v>249</v>
      </c>
      <c r="Q7" s="17"/>
      <c r="R7" s="17" t="s">
        <v>263</v>
      </c>
      <c r="S7" s="17"/>
      <c r="T7" s="17" t="s">
        <v>236</v>
      </c>
      <c r="U7" s="17" t="s">
        <v>237</v>
      </c>
      <c r="V7" s="17" t="s">
        <v>0</v>
      </c>
      <c r="W7" s="17" t="s">
        <v>251</v>
      </c>
      <c r="X7" s="17" t="s">
        <v>251</v>
      </c>
      <c r="Y7" s="17" t="s">
        <v>251</v>
      </c>
    </row>
    <row r="8" spans="1:33" x14ac:dyDescent="0.25">
      <c r="A8" s="17">
        <v>6</v>
      </c>
      <c r="B8" s="17" t="s">
        <v>132</v>
      </c>
      <c r="C8" s="17" t="s">
        <v>133</v>
      </c>
      <c r="D8" s="17" t="s">
        <v>366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33" x14ac:dyDescent="0.25">
      <c r="A9" s="17">
        <v>7</v>
      </c>
      <c r="B9" s="17" t="s">
        <v>134</v>
      </c>
      <c r="C9" s="17" t="s">
        <v>135</v>
      </c>
      <c r="D9" s="17" t="s">
        <v>367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33" x14ac:dyDescent="0.25">
      <c r="A10" s="17">
        <v>8</v>
      </c>
      <c r="B10" s="17" t="s">
        <v>136</v>
      </c>
      <c r="C10" s="17" t="s">
        <v>137</v>
      </c>
      <c r="D10" s="17" t="s">
        <v>368</v>
      </c>
      <c r="E10" s="17" t="s">
        <v>273</v>
      </c>
      <c r="F10" s="17" t="s">
        <v>274</v>
      </c>
      <c r="G10" s="17" t="s">
        <v>296</v>
      </c>
      <c r="H10" s="17" t="s">
        <v>275</v>
      </c>
      <c r="I10" s="17" t="s">
        <v>283</v>
      </c>
      <c r="J10" s="17" t="s">
        <v>226</v>
      </c>
      <c r="K10" s="17" t="s">
        <v>227</v>
      </c>
      <c r="L10" s="17" t="s">
        <v>229</v>
      </c>
      <c r="M10" s="17" t="s">
        <v>277</v>
      </c>
      <c r="N10" s="17" t="s">
        <v>285</v>
      </c>
      <c r="O10" s="17" t="s">
        <v>250</v>
      </c>
      <c r="P10" s="17" t="s">
        <v>249</v>
      </c>
      <c r="Q10" s="17"/>
      <c r="R10" s="17" t="s">
        <v>263</v>
      </c>
      <c r="S10" s="17"/>
      <c r="T10" s="17" t="s">
        <v>236</v>
      </c>
      <c r="U10" s="17" t="s">
        <v>237</v>
      </c>
      <c r="V10" s="17" t="s">
        <v>0</v>
      </c>
      <c r="W10" s="17" t="s">
        <v>251</v>
      </c>
      <c r="X10" s="17" t="s">
        <v>251</v>
      </c>
      <c r="Y10" s="17" t="s">
        <v>251</v>
      </c>
    </row>
    <row r="11" spans="1:33" x14ac:dyDescent="0.25">
      <c r="A11" s="17">
        <v>9</v>
      </c>
      <c r="B11" s="17" t="s">
        <v>138</v>
      </c>
      <c r="C11" s="17" t="s">
        <v>139</v>
      </c>
      <c r="D11" s="17" t="s">
        <v>369</v>
      </c>
      <c r="E11" s="17" t="s">
        <v>273</v>
      </c>
      <c r="F11" s="17" t="s">
        <v>274</v>
      </c>
      <c r="G11" s="17" t="s">
        <v>296</v>
      </c>
      <c r="H11" s="17" t="s">
        <v>276</v>
      </c>
      <c r="I11" s="17" t="s">
        <v>283</v>
      </c>
      <c r="J11" s="17" t="s">
        <v>226</v>
      </c>
      <c r="K11" s="17" t="s">
        <v>227</v>
      </c>
      <c r="L11" s="17" t="s">
        <v>229</v>
      </c>
      <c r="M11" s="17" t="s">
        <v>277</v>
      </c>
      <c r="N11" s="17" t="s">
        <v>285</v>
      </c>
      <c r="O11" s="17" t="s">
        <v>250</v>
      </c>
      <c r="P11" s="17" t="s">
        <v>249</v>
      </c>
      <c r="Q11" s="17"/>
      <c r="R11" s="17" t="s">
        <v>263</v>
      </c>
      <c r="S11" s="17"/>
      <c r="T11" s="17" t="s">
        <v>236</v>
      </c>
      <c r="U11" s="17" t="s">
        <v>237</v>
      </c>
      <c r="V11" s="17" t="s">
        <v>0</v>
      </c>
      <c r="W11" s="17" t="s">
        <v>251</v>
      </c>
      <c r="X11" s="17" t="s">
        <v>251</v>
      </c>
      <c r="Y11" s="17" t="s">
        <v>251</v>
      </c>
    </row>
    <row r="12" spans="1:33" x14ac:dyDescent="0.25">
      <c r="A12" s="17">
        <v>10</v>
      </c>
      <c r="B12" s="17" t="s">
        <v>140</v>
      </c>
      <c r="C12" s="17" t="s">
        <v>141</v>
      </c>
      <c r="D12" s="17" t="s">
        <v>433</v>
      </c>
      <c r="E12" s="17" t="s">
        <v>273</v>
      </c>
      <c r="F12" s="17" t="s">
        <v>274</v>
      </c>
      <c r="G12" s="17" t="s">
        <v>296</v>
      </c>
      <c r="H12" s="17" t="s">
        <v>276</v>
      </c>
      <c r="I12" s="17" t="s">
        <v>283</v>
      </c>
      <c r="J12" s="17" t="s">
        <v>226</v>
      </c>
      <c r="K12" s="17" t="s">
        <v>227</v>
      </c>
      <c r="L12" s="17" t="s">
        <v>229</v>
      </c>
      <c r="M12" s="17" t="s">
        <v>277</v>
      </c>
      <c r="N12" s="17" t="s">
        <v>285</v>
      </c>
      <c r="O12" s="17" t="s">
        <v>250</v>
      </c>
      <c r="P12" s="17" t="s">
        <v>249</v>
      </c>
      <c r="Q12" s="17"/>
      <c r="R12" s="17" t="s">
        <v>263</v>
      </c>
      <c r="S12" s="17"/>
      <c r="T12" s="17" t="s">
        <v>236</v>
      </c>
      <c r="U12" s="17" t="s">
        <v>237</v>
      </c>
      <c r="V12" s="17" t="s">
        <v>0</v>
      </c>
      <c r="W12" s="17" t="s">
        <v>251</v>
      </c>
      <c r="X12" s="17" t="s">
        <v>251</v>
      </c>
      <c r="Y12" s="17" t="s">
        <v>251</v>
      </c>
    </row>
    <row r="13" spans="1:33" x14ac:dyDescent="0.25">
      <c r="A13" s="7">
        <v>11</v>
      </c>
      <c r="B13" s="7" t="s">
        <v>142</v>
      </c>
      <c r="C13" s="7" t="s">
        <v>143</v>
      </c>
      <c r="D13" s="17" t="s">
        <v>448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33" ht="15.75" thickBot="1" x14ac:dyDescent="0.3">
      <c r="A14" s="9">
        <v>12</v>
      </c>
      <c r="B14" s="9" t="s">
        <v>144</v>
      </c>
      <c r="C14" s="9" t="s">
        <v>145</v>
      </c>
      <c r="D14" s="17" t="s">
        <v>449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33" ht="15.75" thickTop="1" x14ac:dyDescent="0.25">
      <c r="A15" s="13">
        <v>13</v>
      </c>
      <c r="B15" s="13" t="s">
        <v>146</v>
      </c>
      <c r="C15" s="13" t="s">
        <v>147</v>
      </c>
      <c r="D15" s="17" t="s">
        <v>450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33" x14ac:dyDescent="0.25">
      <c r="A16" s="7">
        <v>14</v>
      </c>
      <c r="B16" s="7" t="s">
        <v>148</v>
      </c>
      <c r="C16" s="7" t="s">
        <v>149</v>
      </c>
      <c r="D16" s="17" t="s">
        <v>451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7">
        <v>15</v>
      </c>
      <c r="B17" s="7" t="s">
        <v>150</v>
      </c>
      <c r="C17" s="7" t="s">
        <v>151</v>
      </c>
      <c r="D17" s="17" t="s">
        <v>452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7">
        <v>16</v>
      </c>
      <c r="B18" s="7" t="s">
        <v>152</v>
      </c>
      <c r="C18" s="7" t="s">
        <v>153</v>
      </c>
      <c r="D18" s="17" t="s">
        <v>453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17">
        <v>17</v>
      </c>
      <c r="B19" s="17" t="s">
        <v>154</v>
      </c>
      <c r="C19" s="17" t="s">
        <v>155</v>
      </c>
      <c r="D19" s="17" t="s">
        <v>454</v>
      </c>
      <c r="E19" s="17" t="s">
        <v>273</v>
      </c>
      <c r="F19" s="17" t="s">
        <v>274</v>
      </c>
      <c r="G19" s="17" t="s">
        <v>296</v>
      </c>
      <c r="H19" s="17" t="s">
        <v>276</v>
      </c>
      <c r="I19" s="17" t="s">
        <v>283</v>
      </c>
      <c r="J19" s="17" t="s">
        <v>226</v>
      </c>
      <c r="K19" s="17" t="s">
        <v>227</v>
      </c>
      <c r="L19" s="17" t="s">
        <v>229</v>
      </c>
      <c r="M19" s="17" t="s">
        <v>277</v>
      </c>
      <c r="N19" s="17" t="s">
        <v>285</v>
      </c>
      <c r="O19" s="17" t="s">
        <v>250</v>
      </c>
      <c r="P19" s="17" t="s">
        <v>249</v>
      </c>
      <c r="Q19" s="17"/>
      <c r="R19" s="17" t="s">
        <v>263</v>
      </c>
      <c r="S19" s="17"/>
      <c r="T19" s="17" t="s">
        <v>236</v>
      </c>
      <c r="U19" s="17" t="s">
        <v>237</v>
      </c>
      <c r="V19" s="17" t="s">
        <v>0</v>
      </c>
      <c r="W19" s="17" t="s">
        <v>251</v>
      </c>
      <c r="X19" s="17" t="s">
        <v>251</v>
      </c>
      <c r="Y19" s="17" t="s">
        <v>251</v>
      </c>
    </row>
    <row r="20" spans="1:25" x14ac:dyDescent="0.25">
      <c r="A20" s="7">
        <v>18</v>
      </c>
      <c r="B20" s="7" t="s">
        <v>156</v>
      </c>
      <c r="C20" s="7" t="s">
        <v>157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s="7">
        <v>19</v>
      </c>
      <c r="B21" s="7" t="s">
        <v>158</v>
      </c>
      <c r="C21" s="7" t="s">
        <v>159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s="7">
        <v>20</v>
      </c>
      <c r="B22" s="7" t="s">
        <v>160</v>
      </c>
      <c r="C22" s="7" t="s">
        <v>161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s="7">
        <v>21</v>
      </c>
      <c r="B23" s="7" t="s">
        <v>162</v>
      </c>
      <c r="C23" s="7" t="s">
        <v>163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s="7">
        <v>22</v>
      </c>
      <c r="B24" s="7" t="s">
        <v>164</v>
      </c>
      <c r="C24" s="7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s="7">
        <v>23</v>
      </c>
      <c r="B25" s="7" t="s">
        <v>166</v>
      </c>
      <c r="C25" s="7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5">
      <c r="A26" s="7">
        <v>24</v>
      </c>
      <c r="B26" s="7" t="s">
        <v>168</v>
      </c>
      <c r="C26" s="7" t="s">
        <v>169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8">
        <v>25</v>
      </c>
      <c r="B27" s="7" t="s">
        <v>170</v>
      </c>
      <c r="C27" s="7" t="s">
        <v>171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8">
        <v>26</v>
      </c>
      <c r="B28" s="7" t="s">
        <v>172</v>
      </c>
      <c r="C28" s="7" t="s">
        <v>173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7">
        <v>27</v>
      </c>
      <c r="B29" s="7" t="s">
        <v>174</v>
      </c>
      <c r="C29" s="7" t="s">
        <v>175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7">
        <v>28</v>
      </c>
      <c r="B30" s="7" t="s">
        <v>176</v>
      </c>
      <c r="C30" s="7" t="s">
        <v>177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7">
        <v>29</v>
      </c>
      <c r="B31" s="7" t="s">
        <v>178</v>
      </c>
      <c r="C31" s="7" t="s">
        <v>179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7">
        <v>30</v>
      </c>
      <c r="B32" s="7" t="s">
        <v>180</v>
      </c>
      <c r="C32" s="7" t="s">
        <v>181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7">
        <v>31</v>
      </c>
      <c r="B33" s="7" t="s">
        <v>182</v>
      </c>
      <c r="C33" s="7" t="s">
        <v>183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7">
        <v>32</v>
      </c>
      <c r="B34" s="7" t="s">
        <v>184</v>
      </c>
      <c r="C34" s="7" t="s">
        <v>185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7">
        <v>33</v>
      </c>
      <c r="B35" s="7" t="s">
        <v>186</v>
      </c>
      <c r="C35" s="7" t="s">
        <v>187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7">
        <v>34</v>
      </c>
      <c r="B36" s="7" t="s">
        <v>188</v>
      </c>
      <c r="C36" s="7" t="s">
        <v>189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7">
        <v>35</v>
      </c>
      <c r="B37" s="7" t="s">
        <v>190</v>
      </c>
      <c r="C37" s="7" t="s">
        <v>191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7">
        <v>36</v>
      </c>
      <c r="B38" s="7" t="s">
        <v>192</v>
      </c>
      <c r="C38" s="7" t="s">
        <v>193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s="7">
        <v>37</v>
      </c>
      <c r="B39" s="7" t="s">
        <v>194</v>
      </c>
      <c r="C39" s="7" t="s">
        <v>195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5">
      <c r="A40" s="17">
        <v>38</v>
      </c>
      <c r="B40" s="17" t="s">
        <v>196</v>
      </c>
      <c r="C40" s="17" t="s">
        <v>197</v>
      </c>
      <c r="D40" s="17" t="s">
        <v>779</v>
      </c>
      <c r="E40" s="57" t="s">
        <v>769</v>
      </c>
      <c r="F40" s="57" t="s">
        <v>770</v>
      </c>
      <c r="G40" s="57" t="s">
        <v>780</v>
      </c>
      <c r="H40" s="57" t="s">
        <v>772</v>
      </c>
      <c r="I40" s="57" t="s">
        <v>393</v>
      </c>
      <c r="J40" s="17" t="s">
        <v>226</v>
      </c>
      <c r="K40" s="17" t="s">
        <v>227</v>
      </c>
      <c r="L40" s="17" t="s">
        <v>229</v>
      </c>
      <c r="M40" s="58" t="s">
        <v>778</v>
      </c>
      <c r="N40" s="17" t="s">
        <v>285</v>
      </c>
      <c r="O40" s="17" t="s">
        <v>250</v>
      </c>
      <c r="P40" s="17" t="s">
        <v>249</v>
      </c>
      <c r="Q40" s="17"/>
      <c r="R40" s="17" t="s">
        <v>263</v>
      </c>
      <c r="T40" s="17" t="s">
        <v>236</v>
      </c>
      <c r="U40" s="17" t="s">
        <v>237</v>
      </c>
      <c r="V40" s="17" t="s">
        <v>0</v>
      </c>
      <c r="W40" s="17" t="s">
        <v>251</v>
      </c>
      <c r="X40" s="17" t="s">
        <v>251</v>
      </c>
      <c r="Y40" s="17" t="s">
        <v>251</v>
      </c>
    </row>
    <row r="41" spans="1:25" x14ac:dyDescent="0.25">
      <c r="A41" s="7">
        <v>39</v>
      </c>
      <c r="B41" s="7" t="s">
        <v>198</v>
      </c>
      <c r="C41" s="7" t="s">
        <v>199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A42" s="7">
        <v>40</v>
      </c>
      <c r="B42" s="7" t="s">
        <v>200</v>
      </c>
      <c r="C42" s="7" t="s">
        <v>201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A43" s="7">
        <v>41</v>
      </c>
      <c r="B43" s="7" t="s">
        <v>202</v>
      </c>
      <c r="C43" s="7" t="s">
        <v>203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5">
      <c r="A44" s="7">
        <v>42</v>
      </c>
      <c r="B44" s="7" t="s">
        <v>204</v>
      </c>
      <c r="C44" s="7" t="s">
        <v>205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5">
      <c r="A45" s="48">
        <v>43</v>
      </c>
      <c r="B45" s="48" t="s">
        <v>206</v>
      </c>
      <c r="C45" s="48" t="s">
        <v>207</v>
      </c>
      <c r="D45" s="48" t="s">
        <v>406</v>
      </c>
      <c r="E45" s="48" t="s">
        <v>390</v>
      </c>
      <c r="F45" s="48" t="s">
        <v>411</v>
      </c>
      <c r="G45" s="48" t="s">
        <v>392</v>
      </c>
      <c r="H45" s="48" t="s">
        <v>275</v>
      </c>
      <c r="I45" s="48" t="s">
        <v>797</v>
      </c>
      <c r="J45" s="48" t="s">
        <v>226</v>
      </c>
      <c r="K45" s="48" t="s">
        <v>227</v>
      </c>
      <c r="L45" s="48" t="s">
        <v>229</v>
      </c>
      <c r="M45" s="48" t="s">
        <v>248</v>
      </c>
      <c r="N45" s="48" t="s">
        <v>249</v>
      </c>
      <c r="O45" s="48" t="s">
        <v>250</v>
      </c>
      <c r="P45" s="48" t="s">
        <v>249</v>
      </c>
      <c r="Q45" s="48"/>
      <c r="R45" s="48" t="s">
        <v>263</v>
      </c>
      <c r="S45" s="66"/>
      <c r="T45" s="48" t="s">
        <v>236</v>
      </c>
      <c r="U45" s="48" t="s">
        <v>237</v>
      </c>
      <c r="V45" s="48" t="s">
        <v>0</v>
      </c>
      <c r="W45" s="48" t="s">
        <v>251</v>
      </c>
      <c r="X45" s="48" t="s">
        <v>251</v>
      </c>
      <c r="Y45" s="48" t="s">
        <v>251</v>
      </c>
    </row>
    <row r="46" spans="1:25" x14ac:dyDescent="0.25">
      <c r="A46" s="62">
        <v>44</v>
      </c>
      <c r="B46" s="62" t="s">
        <v>208</v>
      </c>
      <c r="C46" s="62" t="s">
        <v>209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spans="1:25" x14ac:dyDescent="0.25">
      <c r="A47" s="48">
        <v>45</v>
      </c>
      <c r="B47" s="48" t="s">
        <v>210</v>
      </c>
      <c r="C47" s="48" t="s">
        <v>211</v>
      </c>
      <c r="D47" s="48" t="s">
        <v>791</v>
      </c>
      <c r="E47" s="48" t="s">
        <v>486</v>
      </c>
      <c r="F47" s="48" t="s">
        <v>792</v>
      </c>
      <c r="G47" s="48" t="s">
        <v>392</v>
      </c>
      <c r="H47" s="48" t="s">
        <v>275</v>
      </c>
      <c r="I47" s="48" t="s">
        <v>393</v>
      </c>
      <c r="J47" s="48" t="s">
        <v>798</v>
      </c>
      <c r="K47" s="48" t="s">
        <v>227</v>
      </c>
      <c r="L47" s="48" t="s">
        <v>793</v>
      </c>
      <c r="M47" s="48" t="s">
        <v>799</v>
      </c>
      <c r="N47" s="48" t="s">
        <v>800</v>
      </c>
      <c r="O47" s="48" t="s">
        <v>421</v>
      </c>
      <c r="P47" s="48" t="s">
        <v>800</v>
      </c>
      <c r="Q47" s="48"/>
      <c r="R47" s="48" t="s">
        <v>263</v>
      </c>
      <c r="S47" s="66"/>
      <c r="T47" s="48" t="s">
        <v>236</v>
      </c>
      <c r="U47" s="48" t="s">
        <v>237</v>
      </c>
      <c r="V47" s="48" t="s">
        <v>0</v>
      </c>
      <c r="W47" s="48" t="s">
        <v>251</v>
      </c>
      <c r="X47" s="48" t="s">
        <v>251</v>
      </c>
      <c r="Y47" s="48" t="s">
        <v>251</v>
      </c>
    </row>
    <row r="48" spans="1:25" x14ac:dyDescent="0.25">
      <c r="A48" s="48">
        <v>46</v>
      </c>
      <c r="B48" s="48" t="s">
        <v>212</v>
      </c>
      <c r="C48" s="48" t="s">
        <v>213</v>
      </c>
      <c r="D48" s="48" t="s">
        <v>406</v>
      </c>
      <c r="E48" s="48" t="s">
        <v>390</v>
      </c>
      <c r="F48" s="48" t="s">
        <v>411</v>
      </c>
      <c r="G48" s="48" t="s">
        <v>392</v>
      </c>
      <c r="H48" s="48" t="s">
        <v>275</v>
      </c>
      <c r="I48" s="48" t="s">
        <v>797</v>
      </c>
      <c r="J48" s="48" t="s">
        <v>226</v>
      </c>
      <c r="K48" s="48" t="s">
        <v>227</v>
      </c>
      <c r="L48" s="48" t="s">
        <v>229</v>
      </c>
      <c r="M48" s="48" t="s">
        <v>248</v>
      </c>
      <c r="N48" s="48" t="s">
        <v>249</v>
      </c>
      <c r="O48" s="48" t="s">
        <v>250</v>
      </c>
      <c r="P48" s="48" t="s">
        <v>249</v>
      </c>
      <c r="Q48" s="48"/>
      <c r="R48" s="48" t="s">
        <v>263</v>
      </c>
      <c r="S48" s="66"/>
      <c r="T48" s="48" t="s">
        <v>236</v>
      </c>
      <c r="U48" s="48" t="s">
        <v>237</v>
      </c>
      <c r="V48" s="48" t="s">
        <v>0</v>
      </c>
      <c r="W48" s="48" t="s">
        <v>251</v>
      </c>
      <c r="X48" s="48" t="s">
        <v>251</v>
      </c>
      <c r="Y48" s="48" t="s">
        <v>251</v>
      </c>
    </row>
    <row r="49" spans="1:25" x14ac:dyDescent="0.25">
      <c r="A49" s="13">
        <v>47</v>
      </c>
      <c r="B49" s="13" t="s">
        <v>214</v>
      </c>
      <c r="C49" s="13" t="s">
        <v>215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thickBot="1" x14ac:dyDescent="0.3">
      <c r="A50" s="9">
        <v>48</v>
      </c>
      <c r="B50" s="9" t="s">
        <v>216</v>
      </c>
      <c r="C50" s="9" t="s">
        <v>217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thickTop="1" x14ac:dyDescent="0.25"/>
  </sheetData>
  <mergeCells count="1">
    <mergeCell ref="A1:Y1"/>
  </mergeCells>
  <phoneticPr fontId="29" type="noConversion"/>
  <pageMargins left="0.31496062992125984" right="0.11811023622047245" top="0.15748031496062992" bottom="0.15748031496062992" header="0.31496062992125984" footer="0.31496062992125984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S56"/>
  <sheetViews>
    <sheetView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E39" sqref="E39"/>
    </sheetView>
  </sheetViews>
  <sheetFormatPr defaultRowHeight="15" x14ac:dyDescent="0.25"/>
  <cols>
    <col min="1" max="1" width="4.7109375" customWidth="1"/>
    <col min="2" max="2" width="38.28515625" customWidth="1"/>
    <col min="3" max="3" width="20.42578125" customWidth="1"/>
    <col min="4" max="4" width="16.42578125" customWidth="1"/>
    <col min="5" max="5" width="18" customWidth="1"/>
    <col min="6" max="6" width="17" customWidth="1"/>
    <col min="7" max="7" width="15.42578125" customWidth="1"/>
    <col min="8" max="8" width="16.140625" customWidth="1"/>
    <col min="9" max="9" width="16.42578125" customWidth="1"/>
    <col min="10" max="10" width="20" customWidth="1"/>
    <col min="11" max="11" width="22.5703125" customWidth="1"/>
    <col min="12" max="12" width="19.85546875" customWidth="1"/>
    <col min="13" max="13" width="18.140625" customWidth="1"/>
    <col min="14" max="14" width="17.5703125" customWidth="1"/>
    <col min="15" max="15" width="15.140625" customWidth="1"/>
    <col min="16" max="16" width="15.85546875" customWidth="1"/>
    <col min="17" max="17" width="17" customWidth="1"/>
    <col min="18" max="18" width="16.7109375" customWidth="1"/>
  </cols>
  <sheetData>
    <row r="1" spans="1:18" ht="16.5" thickBot="1" x14ac:dyDescent="0.3">
      <c r="A1" s="81" t="s">
        <v>100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ht="137.25" customHeight="1" thickTop="1" thickBot="1" x14ac:dyDescent="0.3">
      <c r="A2" s="22" t="s">
        <v>218</v>
      </c>
      <c r="B2" s="25" t="s">
        <v>120</v>
      </c>
      <c r="C2" s="25" t="s">
        <v>121</v>
      </c>
      <c r="D2" s="14" t="s">
        <v>322</v>
      </c>
      <c r="E2" s="26" t="s">
        <v>3</v>
      </c>
      <c r="F2" s="26" t="s">
        <v>110</v>
      </c>
      <c r="G2" s="26" t="s">
        <v>109</v>
      </c>
      <c r="H2" s="26" t="s">
        <v>108</v>
      </c>
      <c r="I2" s="26" t="s">
        <v>107</v>
      </c>
      <c r="J2" s="26" t="s">
        <v>106</v>
      </c>
      <c r="K2" s="26" t="s">
        <v>105</v>
      </c>
      <c r="L2" s="26" t="s">
        <v>49</v>
      </c>
      <c r="M2" s="26" t="s">
        <v>104</v>
      </c>
      <c r="N2" s="26" t="s">
        <v>103</v>
      </c>
      <c r="O2" s="26" t="s">
        <v>102</v>
      </c>
      <c r="P2" s="26" t="s">
        <v>1</v>
      </c>
      <c r="Q2" s="26" t="s">
        <v>101</v>
      </c>
      <c r="R2" s="26" t="s">
        <v>99</v>
      </c>
    </row>
    <row r="3" spans="1:18" ht="13.5" customHeight="1" thickTop="1" x14ac:dyDescent="0.25">
      <c r="A3" s="31">
        <v>1</v>
      </c>
      <c r="B3" s="31" t="s">
        <v>122</v>
      </c>
      <c r="C3" s="31" t="s">
        <v>123</v>
      </c>
      <c r="D3" s="31" t="s">
        <v>370</v>
      </c>
      <c r="E3" s="17" t="s">
        <v>219</v>
      </c>
      <c r="F3" s="17" t="s">
        <v>219</v>
      </c>
      <c r="G3" s="17" t="s">
        <v>219</v>
      </c>
      <c r="H3" s="17" t="s">
        <v>219</v>
      </c>
      <c r="I3" s="17" t="s">
        <v>219</v>
      </c>
      <c r="J3" s="17" t="s">
        <v>219</v>
      </c>
      <c r="K3" s="17" t="s">
        <v>219</v>
      </c>
      <c r="L3" s="17" t="s">
        <v>219</v>
      </c>
      <c r="M3" s="17" t="s">
        <v>219</v>
      </c>
      <c r="N3" s="17" t="s">
        <v>219</v>
      </c>
      <c r="O3" s="17" t="s">
        <v>219</v>
      </c>
      <c r="P3" s="17" t="s">
        <v>219</v>
      </c>
      <c r="Q3" s="17" t="s">
        <v>219</v>
      </c>
      <c r="R3" s="17" t="s">
        <v>219</v>
      </c>
    </row>
    <row r="4" spans="1:18" ht="13.5" customHeight="1" x14ac:dyDescent="0.25">
      <c r="A4" s="17">
        <v>2</v>
      </c>
      <c r="B4" s="17" t="s">
        <v>124</v>
      </c>
      <c r="C4" s="17" t="s">
        <v>125</v>
      </c>
      <c r="D4" s="17" t="s">
        <v>371</v>
      </c>
      <c r="E4" s="17" t="s">
        <v>219</v>
      </c>
      <c r="F4" s="17" t="s">
        <v>219</v>
      </c>
      <c r="G4" s="17" t="s">
        <v>219</v>
      </c>
      <c r="H4" s="17" t="s">
        <v>219</v>
      </c>
      <c r="I4" s="17" t="s">
        <v>219</v>
      </c>
      <c r="J4" s="17" t="s">
        <v>219</v>
      </c>
      <c r="K4" s="17" t="s">
        <v>219</v>
      </c>
      <c r="L4" s="17" t="s">
        <v>219</v>
      </c>
      <c r="M4" s="17" t="s">
        <v>219</v>
      </c>
      <c r="N4" s="17" t="s">
        <v>219</v>
      </c>
      <c r="O4" s="17" t="s">
        <v>219</v>
      </c>
      <c r="P4" s="17" t="s">
        <v>219</v>
      </c>
      <c r="Q4" s="17" t="s">
        <v>219</v>
      </c>
      <c r="R4" s="17" t="s">
        <v>219</v>
      </c>
    </row>
    <row r="5" spans="1:18" ht="13.5" customHeight="1" x14ac:dyDescent="0.25">
      <c r="A5" s="17">
        <v>3</v>
      </c>
      <c r="B5" s="17" t="s">
        <v>126</v>
      </c>
      <c r="C5" s="17" t="s">
        <v>127</v>
      </c>
      <c r="D5" s="17" t="s">
        <v>372</v>
      </c>
      <c r="E5" s="17" t="s">
        <v>219</v>
      </c>
      <c r="F5" s="17" t="s">
        <v>219</v>
      </c>
      <c r="G5" s="17" t="s">
        <v>219</v>
      </c>
      <c r="H5" s="17" t="s">
        <v>219</v>
      </c>
      <c r="I5" s="17" t="s">
        <v>219</v>
      </c>
      <c r="J5" s="17" t="s">
        <v>219</v>
      </c>
      <c r="K5" s="17" t="s">
        <v>219</v>
      </c>
      <c r="L5" s="17" t="s">
        <v>219</v>
      </c>
      <c r="M5" s="17" t="s">
        <v>219</v>
      </c>
      <c r="N5" s="17" t="s">
        <v>219</v>
      </c>
      <c r="O5" s="17" t="s">
        <v>219</v>
      </c>
      <c r="P5" s="17" t="s">
        <v>219</v>
      </c>
      <c r="Q5" s="17" t="s">
        <v>219</v>
      </c>
      <c r="R5" s="17" t="s">
        <v>219</v>
      </c>
    </row>
    <row r="6" spans="1:18" ht="13.5" customHeight="1" x14ac:dyDescent="0.25">
      <c r="A6" s="17">
        <v>4</v>
      </c>
      <c r="B6" s="17" t="s">
        <v>128</v>
      </c>
      <c r="C6" s="17" t="s">
        <v>129</v>
      </c>
      <c r="D6" s="17" t="s">
        <v>373</v>
      </c>
      <c r="E6" s="17" t="s">
        <v>222</v>
      </c>
      <c r="F6" s="17" t="s">
        <v>223</v>
      </c>
      <c r="G6" s="17" t="s">
        <v>379</v>
      </c>
      <c r="H6" s="17" t="s">
        <v>323</v>
      </c>
      <c r="I6" s="17" t="s">
        <v>324</v>
      </c>
      <c r="J6" s="17" t="s">
        <v>231</v>
      </c>
      <c r="K6" s="17" t="s">
        <v>429</v>
      </c>
      <c r="L6" s="17" t="s">
        <v>264</v>
      </c>
      <c r="M6" s="17" t="s">
        <v>237</v>
      </c>
      <c r="N6" s="17" t="s">
        <v>231</v>
      </c>
      <c r="O6" s="17" t="s">
        <v>326</v>
      </c>
      <c r="P6" s="17" t="s">
        <v>227</v>
      </c>
      <c r="Q6" s="17"/>
      <c r="R6" s="17" t="s">
        <v>327</v>
      </c>
    </row>
    <row r="7" spans="1:18" ht="13.5" customHeight="1" x14ac:dyDescent="0.25">
      <c r="A7" s="17">
        <v>5</v>
      </c>
      <c r="B7" s="17" t="s">
        <v>130</v>
      </c>
      <c r="C7" s="17" t="s">
        <v>131</v>
      </c>
      <c r="D7" s="17" t="s">
        <v>374</v>
      </c>
      <c r="E7" s="17" t="s">
        <v>222</v>
      </c>
      <c r="F7" s="17" t="s">
        <v>223</v>
      </c>
      <c r="G7" s="17" t="s">
        <v>379</v>
      </c>
      <c r="H7" s="17" t="s">
        <v>323</v>
      </c>
      <c r="I7" s="17" t="s">
        <v>324</v>
      </c>
      <c r="J7" s="17" t="s">
        <v>231</v>
      </c>
      <c r="K7" s="17" t="s">
        <v>429</v>
      </c>
      <c r="L7" s="17" t="s">
        <v>264</v>
      </c>
      <c r="M7" s="17" t="s">
        <v>325</v>
      </c>
      <c r="N7" s="17" t="s">
        <v>231</v>
      </c>
      <c r="O7" s="17" t="s">
        <v>326</v>
      </c>
      <c r="P7" s="17" t="s">
        <v>227</v>
      </c>
      <c r="Q7" s="17"/>
      <c r="R7" s="17" t="s">
        <v>327</v>
      </c>
    </row>
    <row r="8" spans="1:18" ht="13.5" customHeight="1" x14ac:dyDescent="0.25">
      <c r="A8" s="5">
        <v>6</v>
      </c>
      <c r="B8" s="5" t="s">
        <v>132</v>
      </c>
      <c r="C8" s="5" t="s">
        <v>133</v>
      </c>
      <c r="D8" s="5" t="s">
        <v>375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3.5" customHeight="1" x14ac:dyDescent="0.25">
      <c r="A9" s="5">
        <v>7</v>
      </c>
      <c r="B9" s="5" t="s">
        <v>134</v>
      </c>
      <c r="C9" s="5" t="s">
        <v>135</v>
      </c>
      <c r="D9" s="5" t="s">
        <v>376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3.5" customHeight="1" x14ac:dyDescent="0.25">
      <c r="A10" s="17">
        <v>8</v>
      </c>
      <c r="B10" s="17" t="s">
        <v>136</v>
      </c>
      <c r="C10" s="17" t="s">
        <v>137</v>
      </c>
      <c r="D10" s="17" t="s">
        <v>377</v>
      </c>
      <c r="E10" s="17" t="s">
        <v>425</v>
      </c>
      <c r="F10" s="17" t="s">
        <v>274</v>
      </c>
      <c r="G10" s="17" t="s">
        <v>422</v>
      </c>
      <c r="H10" s="17" t="s">
        <v>323</v>
      </c>
      <c r="I10" s="17" t="s">
        <v>426</v>
      </c>
      <c r="J10" s="17" t="s">
        <v>423</v>
      </c>
      <c r="K10" s="17" t="s">
        <v>428</v>
      </c>
      <c r="L10" s="17" t="s">
        <v>264</v>
      </c>
      <c r="M10" s="17" t="s">
        <v>237</v>
      </c>
      <c r="N10" s="17" t="s">
        <v>423</v>
      </c>
      <c r="O10" s="17" t="s">
        <v>326</v>
      </c>
      <c r="P10" s="17" t="s">
        <v>227</v>
      </c>
      <c r="Q10" s="17"/>
      <c r="R10" s="17" t="s">
        <v>424</v>
      </c>
    </row>
    <row r="11" spans="1:18" ht="13.5" customHeight="1" x14ac:dyDescent="0.25">
      <c r="A11" s="17">
        <v>9</v>
      </c>
      <c r="B11" s="17" t="s">
        <v>138</v>
      </c>
      <c r="C11" s="17" t="s">
        <v>139</v>
      </c>
      <c r="D11" s="17" t="s">
        <v>378</v>
      </c>
      <c r="E11" s="17" t="s">
        <v>425</v>
      </c>
      <c r="F11" s="17" t="s">
        <v>274</v>
      </c>
      <c r="G11" s="17" t="s">
        <v>422</v>
      </c>
      <c r="H11" s="17" t="s">
        <v>323</v>
      </c>
      <c r="I11" s="17" t="s">
        <v>426</v>
      </c>
      <c r="J11" s="17" t="s">
        <v>423</v>
      </c>
      <c r="K11" s="17" t="s">
        <v>428</v>
      </c>
      <c r="L11" s="17" t="s">
        <v>264</v>
      </c>
      <c r="M11" s="17" t="s">
        <v>325</v>
      </c>
      <c r="N11" s="17" t="s">
        <v>423</v>
      </c>
      <c r="O11" s="17" t="s">
        <v>326</v>
      </c>
      <c r="P11" s="17" t="s">
        <v>227</v>
      </c>
      <c r="Q11" s="17"/>
      <c r="R11" s="17" t="s">
        <v>424</v>
      </c>
    </row>
    <row r="12" spans="1:18" ht="13.5" customHeight="1" x14ac:dyDescent="0.25">
      <c r="A12" s="17">
        <v>10</v>
      </c>
      <c r="B12" s="17" t="s">
        <v>140</v>
      </c>
      <c r="C12" s="17" t="s">
        <v>141</v>
      </c>
      <c r="D12" s="17" t="s">
        <v>434</v>
      </c>
      <c r="E12" s="17" t="s">
        <v>219</v>
      </c>
      <c r="F12" s="17" t="s">
        <v>219</v>
      </c>
      <c r="G12" s="17" t="s">
        <v>219</v>
      </c>
      <c r="H12" s="17" t="s">
        <v>219</v>
      </c>
      <c r="I12" s="17" t="s">
        <v>219</v>
      </c>
      <c r="J12" s="17" t="s">
        <v>219</v>
      </c>
      <c r="K12" s="17" t="s">
        <v>219</v>
      </c>
      <c r="L12" s="17" t="s">
        <v>219</v>
      </c>
      <c r="M12" s="17" t="s">
        <v>219</v>
      </c>
      <c r="N12" s="17" t="s">
        <v>219</v>
      </c>
      <c r="O12" s="17" t="s">
        <v>219</v>
      </c>
      <c r="P12" s="17" t="s">
        <v>219</v>
      </c>
      <c r="Q12" s="17" t="s">
        <v>219</v>
      </c>
      <c r="R12" s="17" t="s">
        <v>219</v>
      </c>
    </row>
    <row r="13" spans="1:18" ht="13.5" customHeight="1" x14ac:dyDescent="0.25">
      <c r="A13" s="7">
        <v>11</v>
      </c>
      <c r="B13" s="7" t="s">
        <v>142</v>
      </c>
      <c r="C13" s="7" t="s">
        <v>143</v>
      </c>
      <c r="D13" s="53" t="s">
        <v>455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13.5" customHeight="1" x14ac:dyDescent="0.25">
      <c r="A14" s="7">
        <v>12</v>
      </c>
      <c r="B14" s="7" t="s">
        <v>144</v>
      </c>
      <c r="C14" s="7" t="s">
        <v>145</v>
      </c>
      <c r="D14" s="53" t="s">
        <v>456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3.5" customHeight="1" x14ac:dyDescent="0.25">
      <c r="A15" s="7">
        <v>13</v>
      </c>
      <c r="B15" s="7" t="s">
        <v>146</v>
      </c>
      <c r="C15" s="7" t="s">
        <v>147</v>
      </c>
      <c r="D15" s="53" t="s">
        <v>457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3.5" customHeight="1" x14ac:dyDescent="0.25">
      <c r="A16" s="7">
        <v>14</v>
      </c>
      <c r="B16" s="7" t="s">
        <v>148</v>
      </c>
      <c r="C16" s="7" t="s">
        <v>149</v>
      </c>
      <c r="D16" s="53" t="s">
        <v>458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9" ht="13.5" customHeight="1" x14ac:dyDescent="0.25">
      <c r="A17" s="7">
        <v>15</v>
      </c>
      <c r="B17" s="7" t="s">
        <v>150</v>
      </c>
      <c r="C17" s="7" t="s">
        <v>151</v>
      </c>
      <c r="D17" s="53" t="s">
        <v>459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9" ht="13.5" customHeight="1" x14ac:dyDescent="0.25">
      <c r="A18" s="48">
        <v>16</v>
      </c>
      <c r="B18" s="48" t="s">
        <v>152</v>
      </c>
      <c r="C18" s="48" t="s">
        <v>153</v>
      </c>
      <c r="D18" s="48" t="s">
        <v>460</v>
      </c>
      <c r="E18" s="48" t="s">
        <v>781</v>
      </c>
      <c r="F18" s="48" t="s">
        <v>781</v>
      </c>
      <c r="G18" s="48" t="s">
        <v>781</v>
      </c>
      <c r="H18" s="48" t="s">
        <v>781</v>
      </c>
      <c r="I18" s="48" t="s">
        <v>781</v>
      </c>
      <c r="J18" s="48" t="s">
        <v>781</v>
      </c>
      <c r="K18" s="48" t="s">
        <v>781</v>
      </c>
      <c r="L18" s="48" t="s">
        <v>781</v>
      </c>
      <c r="M18" s="48" t="s">
        <v>781</v>
      </c>
      <c r="N18" s="48" t="s">
        <v>781</v>
      </c>
      <c r="O18" s="48" t="s">
        <v>781</v>
      </c>
      <c r="P18" s="48" t="s">
        <v>781</v>
      </c>
      <c r="Q18" s="48" t="s">
        <v>781</v>
      </c>
      <c r="R18" s="48" t="s">
        <v>781</v>
      </c>
      <c r="S18" s="48" t="s">
        <v>781</v>
      </c>
    </row>
    <row r="19" spans="1:19" ht="13.5" customHeight="1" x14ac:dyDescent="0.25">
      <c r="A19" s="17">
        <v>17</v>
      </c>
      <c r="B19" s="17" t="s">
        <v>154</v>
      </c>
      <c r="C19" s="17" t="s">
        <v>155</v>
      </c>
      <c r="D19" s="17" t="s">
        <v>461</v>
      </c>
      <c r="E19" s="17" t="s">
        <v>219</v>
      </c>
      <c r="F19" s="17" t="s">
        <v>219</v>
      </c>
      <c r="G19" s="17" t="s">
        <v>219</v>
      </c>
      <c r="H19" s="17" t="s">
        <v>219</v>
      </c>
      <c r="I19" s="17" t="s">
        <v>219</v>
      </c>
      <c r="J19" s="17" t="s">
        <v>219</v>
      </c>
      <c r="K19" s="17" t="s">
        <v>219</v>
      </c>
      <c r="L19" s="17" t="s">
        <v>219</v>
      </c>
      <c r="M19" s="17" t="s">
        <v>219</v>
      </c>
      <c r="N19" s="17" t="s">
        <v>219</v>
      </c>
      <c r="O19" s="17" t="s">
        <v>219</v>
      </c>
      <c r="P19" s="17" t="s">
        <v>219</v>
      </c>
      <c r="Q19" s="17" t="s">
        <v>219</v>
      </c>
      <c r="R19" s="17" t="s">
        <v>219</v>
      </c>
    </row>
    <row r="20" spans="1:19" ht="13.5" customHeight="1" x14ac:dyDescent="0.25">
      <c r="A20" s="7">
        <v>18</v>
      </c>
      <c r="B20" s="7" t="s">
        <v>156</v>
      </c>
      <c r="C20" s="7" t="s">
        <v>157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9" ht="13.5" customHeight="1" x14ac:dyDescent="0.25">
      <c r="A21" s="7">
        <v>19</v>
      </c>
      <c r="B21" s="7" t="s">
        <v>158</v>
      </c>
      <c r="C21" s="7" t="s">
        <v>159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9" ht="13.5" customHeight="1" x14ac:dyDescent="0.25">
      <c r="A22" s="7">
        <v>20</v>
      </c>
      <c r="B22" s="7" t="s">
        <v>160</v>
      </c>
      <c r="C22" s="7" t="s">
        <v>161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9" ht="13.5" customHeight="1" x14ac:dyDescent="0.25">
      <c r="A23" s="7">
        <v>21</v>
      </c>
      <c r="B23" s="7" t="s">
        <v>162</v>
      </c>
      <c r="C23" s="7" t="s">
        <v>163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9" ht="13.5" customHeight="1" x14ac:dyDescent="0.25">
      <c r="A24" s="7">
        <v>22</v>
      </c>
      <c r="B24" s="7" t="s">
        <v>164</v>
      </c>
      <c r="C24" s="7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9" ht="13.5" customHeight="1" x14ac:dyDescent="0.25">
      <c r="A25" s="7">
        <v>23</v>
      </c>
      <c r="B25" s="7" t="s">
        <v>166</v>
      </c>
      <c r="C25" s="7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9" ht="13.5" customHeight="1" x14ac:dyDescent="0.25">
      <c r="A26" s="7">
        <v>24</v>
      </c>
      <c r="B26" s="7" t="s">
        <v>168</v>
      </c>
      <c r="C26" s="7" t="s">
        <v>169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9" ht="13.5" customHeight="1" x14ac:dyDescent="0.25">
      <c r="A27" s="8">
        <v>25</v>
      </c>
      <c r="B27" s="7" t="s">
        <v>170</v>
      </c>
      <c r="C27" s="7" t="s">
        <v>171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9" ht="13.5" customHeight="1" x14ac:dyDescent="0.25">
      <c r="A28" s="8">
        <v>26</v>
      </c>
      <c r="B28" s="7" t="s">
        <v>172</v>
      </c>
      <c r="C28" s="7" t="s">
        <v>173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9" ht="13.5" customHeight="1" x14ac:dyDescent="0.25">
      <c r="A29" s="7">
        <v>27</v>
      </c>
      <c r="B29" s="7" t="s">
        <v>174</v>
      </c>
      <c r="C29" s="7" t="s">
        <v>175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9" ht="13.5" customHeight="1" x14ac:dyDescent="0.25">
      <c r="A30" s="7">
        <v>28</v>
      </c>
      <c r="B30" s="7" t="s">
        <v>176</v>
      </c>
      <c r="C30" s="7" t="s">
        <v>177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9" ht="13.5" customHeight="1" x14ac:dyDescent="0.25">
      <c r="A31" s="7">
        <v>29</v>
      </c>
      <c r="B31" s="7" t="s">
        <v>178</v>
      </c>
      <c r="C31" s="7" t="s">
        <v>179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9" ht="13.5" customHeight="1" x14ac:dyDescent="0.25">
      <c r="A32" s="7">
        <v>30</v>
      </c>
      <c r="B32" s="7" t="s">
        <v>180</v>
      </c>
      <c r="C32" s="7" t="s">
        <v>181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3.5" customHeight="1" x14ac:dyDescent="0.25">
      <c r="A33" s="7">
        <v>31</v>
      </c>
      <c r="B33" s="7" t="s">
        <v>182</v>
      </c>
      <c r="C33" s="7" t="s">
        <v>183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3.5" customHeight="1" x14ac:dyDescent="0.25">
      <c r="A34" s="7">
        <v>32</v>
      </c>
      <c r="B34" s="7" t="s">
        <v>184</v>
      </c>
      <c r="C34" s="7" t="s">
        <v>185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3.5" customHeight="1" x14ac:dyDescent="0.25">
      <c r="A35" s="7">
        <v>33</v>
      </c>
      <c r="B35" s="7" t="s">
        <v>186</v>
      </c>
      <c r="C35" s="7" t="s">
        <v>187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3.5" customHeight="1" x14ac:dyDescent="0.25">
      <c r="A36" s="7">
        <v>34</v>
      </c>
      <c r="B36" s="7" t="s">
        <v>188</v>
      </c>
      <c r="C36" s="7" t="s">
        <v>189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3.5" customHeight="1" x14ac:dyDescent="0.25">
      <c r="A37" s="7">
        <v>35</v>
      </c>
      <c r="B37" s="7" t="s">
        <v>190</v>
      </c>
      <c r="C37" s="7" t="s">
        <v>191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3.5" customHeight="1" x14ac:dyDescent="0.25">
      <c r="A38" s="7">
        <v>36</v>
      </c>
      <c r="B38" s="7" t="s">
        <v>192</v>
      </c>
      <c r="C38" s="7" t="s">
        <v>193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3.5" customHeight="1" x14ac:dyDescent="0.25">
      <c r="A39" s="7">
        <v>37</v>
      </c>
      <c r="B39" s="7" t="s">
        <v>194</v>
      </c>
      <c r="C39" s="7" t="s">
        <v>195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3.5" customHeight="1" x14ac:dyDescent="0.25">
      <c r="A40" s="7">
        <v>38</v>
      </c>
      <c r="B40" s="7" t="s">
        <v>196</v>
      </c>
      <c r="C40" s="7" t="s">
        <v>197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3.5" customHeight="1" x14ac:dyDescent="0.25">
      <c r="A41" s="7">
        <v>39</v>
      </c>
      <c r="B41" s="7" t="s">
        <v>198</v>
      </c>
      <c r="C41" s="7" t="s">
        <v>199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3.5" customHeight="1" x14ac:dyDescent="0.25">
      <c r="A42" s="7">
        <v>40</v>
      </c>
      <c r="B42" s="7" t="s">
        <v>200</v>
      </c>
      <c r="C42" s="7" t="s">
        <v>201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3.5" customHeight="1" x14ac:dyDescent="0.25">
      <c r="A43" s="7">
        <v>41</v>
      </c>
      <c r="B43" s="7" t="s">
        <v>202</v>
      </c>
      <c r="C43" s="7" t="s">
        <v>203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3.5" customHeight="1" x14ac:dyDescent="0.25">
      <c r="A44" s="7">
        <v>42</v>
      </c>
      <c r="B44" s="7" t="s">
        <v>204</v>
      </c>
      <c r="C44" s="7" t="s">
        <v>205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3.5" customHeight="1" x14ac:dyDescent="0.25">
      <c r="A45" s="48">
        <v>43</v>
      </c>
      <c r="B45" s="48" t="s">
        <v>206</v>
      </c>
      <c r="C45" s="48" t="s">
        <v>207</v>
      </c>
      <c r="D45" s="48" t="s">
        <v>781</v>
      </c>
      <c r="E45" s="48" t="s">
        <v>781</v>
      </c>
      <c r="F45" s="48" t="s">
        <v>781</v>
      </c>
      <c r="G45" s="48" t="s">
        <v>781</v>
      </c>
      <c r="H45" s="48" t="s">
        <v>781</v>
      </c>
      <c r="I45" s="48" t="s">
        <v>781</v>
      </c>
      <c r="J45" s="48" t="s">
        <v>781</v>
      </c>
      <c r="K45" s="48" t="s">
        <v>781</v>
      </c>
      <c r="L45" s="48" t="s">
        <v>781</v>
      </c>
      <c r="M45" s="48" t="s">
        <v>781</v>
      </c>
      <c r="N45" s="48" t="s">
        <v>781</v>
      </c>
      <c r="O45" s="48" t="s">
        <v>781</v>
      </c>
      <c r="P45" s="48" t="s">
        <v>781</v>
      </c>
      <c r="Q45" s="48" t="s">
        <v>781</v>
      </c>
      <c r="R45" s="48" t="s">
        <v>781</v>
      </c>
    </row>
    <row r="46" spans="1:18" ht="13.5" customHeight="1" x14ac:dyDescent="0.25">
      <c r="A46" s="48">
        <v>44</v>
      </c>
      <c r="B46" s="48" t="s">
        <v>208</v>
      </c>
      <c r="C46" s="48" t="s">
        <v>209</v>
      </c>
      <c r="D46" s="48" t="s">
        <v>469</v>
      </c>
      <c r="E46" s="48" t="s">
        <v>219</v>
      </c>
      <c r="F46" s="48" t="s">
        <v>219</v>
      </c>
      <c r="G46" s="48" t="s">
        <v>219</v>
      </c>
      <c r="H46" s="48" t="s">
        <v>219</v>
      </c>
      <c r="I46" s="48" t="s">
        <v>219</v>
      </c>
      <c r="J46" s="48" t="s">
        <v>219</v>
      </c>
      <c r="K46" s="48" t="s">
        <v>219</v>
      </c>
      <c r="L46" s="48" t="s">
        <v>219</v>
      </c>
      <c r="M46" s="48" t="s">
        <v>219</v>
      </c>
      <c r="N46" s="48" t="s">
        <v>219</v>
      </c>
      <c r="O46" s="48" t="s">
        <v>219</v>
      </c>
      <c r="P46" s="48" t="s">
        <v>219</v>
      </c>
      <c r="Q46" s="48" t="s">
        <v>219</v>
      </c>
      <c r="R46" s="48" t="s">
        <v>219</v>
      </c>
    </row>
    <row r="47" spans="1:18" ht="13.5" customHeight="1" x14ac:dyDescent="0.25">
      <c r="A47" s="48">
        <v>45</v>
      </c>
      <c r="B47" s="48" t="s">
        <v>210</v>
      </c>
      <c r="C47" s="48" t="s">
        <v>211</v>
      </c>
      <c r="D47" s="48" t="s">
        <v>781</v>
      </c>
      <c r="E47" s="48" t="s">
        <v>781</v>
      </c>
      <c r="F47" s="48" t="s">
        <v>781</v>
      </c>
      <c r="G47" s="48" t="s">
        <v>781</v>
      </c>
      <c r="H47" s="48" t="s">
        <v>781</v>
      </c>
      <c r="I47" s="48" t="s">
        <v>781</v>
      </c>
      <c r="J47" s="48" t="s">
        <v>781</v>
      </c>
      <c r="K47" s="48" t="s">
        <v>781</v>
      </c>
      <c r="L47" s="48" t="s">
        <v>781</v>
      </c>
      <c r="M47" s="48" t="s">
        <v>781</v>
      </c>
      <c r="N47" s="48" t="s">
        <v>781</v>
      </c>
      <c r="O47" s="48" t="s">
        <v>781</v>
      </c>
      <c r="P47" s="48" t="s">
        <v>781</v>
      </c>
      <c r="Q47" s="48" t="s">
        <v>781</v>
      </c>
      <c r="R47" s="48" t="s">
        <v>781</v>
      </c>
    </row>
    <row r="48" spans="1:18" ht="13.5" customHeight="1" x14ac:dyDescent="0.25">
      <c r="A48" s="48">
        <v>46</v>
      </c>
      <c r="B48" s="48" t="s">
        <v>212</v>
      </c>
      <c r="C48" s="48" t="s">
        <v>213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</row>
    <row r="49" spans="1:18" ht="13.5" customHeight="1" x14ac:dyDescent="0.25">
      <c r="A49" s="48">
        <v>47</v>
      </c>
      <c r="B49" s="48" t="s">
        <v>214</v>
      </c>
      <c r="C49" s="48" t="s">
        <v>215</v>
      </c>
      <c r="D49" s="48" t="s">
        <v>781</v>
      </c>
      <c r="E49" s="48" t="s">
        <v>781</v>
      </c>
      <c r="F49" s="48" t="s">
        <v>781</v>
      </c>
      <c r="G49" s="48" t="s">
        <v>781</v>
      </c>
      <c r="H49" s="48" t="s">
        <v>781</v>
      </c>
      <c r="I49" s="48" t="s">
        <v>781</v>
      </c>
      <c r="J49" s="48" t="s">
        <v>781</v>
      </c>
      <c r="K49" s="48" t="s">
        <v>781</v>
      </c>
      <c r="L49" s="48" t="s">
        <v>781</v>
      </c>
      <c r="M49" s="48" t="s">
        <v>781</v>
      </c>
      <c r="N49" s="48" t="s">
        <v>781</v>
      </c>
      <c r="O49" s="48" t="s">
        <v>781</v>
      </c>
      <c r="P49" s="48" t="s">
        <v>781</v>
      </c>
      <c r="Q49" s="48" t="s">
        <v>781</v>
      </c>
      <c r="R49" s="48" t="s">
        <v>781</v>
      </c>
    </row>
    <row r="50" spans="1:18" ht="13.5" customHeight="1" thickBot="1" x14ac:dyDescent="0.3">
      <c r="A50" s="9">
        <v>48</v>
      </c>
      <c r="B50" s="9" t="s">
        <v>216</v>
      </c>
      <c r="C50" s="9" t="s">
        <v>217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3.5" customHeight="1" thickTop="1" x14ac:dyDescent="0.25"/>
    <row r="52" spans="1:18" ht="13.5" customHeight="1" x14ac:dyDescent="0.25"/>
    <row r="53" spans="1:18" ht="13.5" customHeight="1" x14ac:dyDescent="0.25"/>
    <row r="54" spans="1:18" ht="13.5" customHeight="1" x14ac:dyDescent="0.25"/>
    <row r="55" spans="1:18" ht="13.5" customHeight="1" x14ac:dyDescent="0.25"/>
    <row r="56" spans="1:18" ht="13.5" customHeight="1" x14ac:dyDescent="0.25"/>
  </sheetData>
  <mergeCells count="1">
    <mergeCell ref="A1:R1"/>
  </mergeCells>
  <phoneticPr fontId="29" type="noConversion"/>
  <pageMargins left="0.31496062992125984" right="0.11811023622047245" top="0.15748031496062992" bottom="0.15748031496062992" header="0.31496062992125984" footer="0.31496062992125984"/>
  <pageSetup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S51"/>
  <sheetViews>
    <sheetView tabSelected="1" zoomScaleNormal="100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U28" sqref="U28"/>
    </sheetView>
  </sheetViews>
  <sheetFormatPr defaultRowHeight="15" x14ac:dyDescent="0.25"/>
  <cols>
    <col min="1" max="1" width="4.42578125" customWidth="1"/>
    <col min="2" max="2" width="35.7109375" customWidth="1"/>
    <col min="3" max="3" width="13.140625" customWidth="1"/>
    <col min="4" max="4" width="11.7109375" customWidth="1"/>
    <col min="5" max="5" width="16.140625" customWidth="1"/>
    <col min="6" max="6" width="15.140625" customWidth="1"/>
    <col min="7" max="7" width="14.28515625" customWidth="1"/>
    <col min="8" max="11" width="10.5703125" customWidth="1"/>
    <col min="12" max="12" width="14.28515625" customWidth="1"/>
    <col min="13" max="17" width="10.5703125" customWidth="1"/>
    <col min="18" max="18" width="18.140625" customWidth="1"/>
    <col min="19" max="24" width="4.5703125" customWidth="1"/>
  </cols>
  <sheetData>
    <row r="1" spans="1:19" ht="24.75" thickTop="1" thickBot="1" x14ac:dyDescent="0.4">
      <c r="A1" s="82" t="s">
        <v>119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4"/>
    </row>
    <row r="2" spans="1:19" ht="153" customHeight="1" thickTop="1" thickBot="1" x14ac:dyDescent="0.3">
      <c r="A2" s="15" t="s">
        <v>218</v>
      </c>
      <c r="B2" s="14" t="s">
        <v>120</v>
      </c>
      <c r="C2" s="14" t="s">
        <v>121</v>
      </c>
      <c r="D2" s="14" t="s">
        <v>352</v>
      </c>
      <c r="E2" s="28" t="s">
        <v>3</v>
      </c>
      <c r="F2" s="28" t="s">
        <v>48</v>
      </c>
      <c r="G2" s="28" t="s">
        <v>2</v>
      </c>
      <c r="H2" s="28" t="s">
        <v>8</v>
      </c>
      <c r="I2" s="28" t="s">
        <v>44</v>
      </c>
      <c r="J2" s="28" t="s">
        <v>1</v>
      </c>
      <c r="K2" s="28" t="s">
        <v>118</v>
      </c>
      <c r="L2" s="28" t="s">
        <v>117</v>
      </c>
      <c r="M2" s="28" t="s">
        <v>116</v>
      </c>
      <c r="N2" s="28" t="s">
        <v>115</v>
      </c>
      <c r="O2" s="28" t="s">
        <v>114</v>
      </c>
      <c r="P2" s="28" t="s">
        <v>113</v>
      </c>
      <c r="Q2" s="28" t="s">
        <v>112</v>
      </c>
      <c r="R2" s="29" t="s">
        <v>111</v>
      </c>
      <c r="S2" s="27"/>
    </row>
    <row r="3" spans="1:19" ht="15.95" customHeight="1" thickTop="1" x14ac:dyDescent="0.25">
      <c r="A3" s="4">
        <v>1</v>
      </c>
      <c r="B3" s="31" t="s">
        <v>122</v>
      </c>
      <c r="C3" s="31" t="s">
        <v>123</v>
      </c>
      <c r="D3" s="45" t="s">
        <v>353</v>
      </c>
      <c r="E3" s="42" t="s">
        <v>329</v>
      </c>
      <c r="F3" s="31" t="s">
        <v>221</v>
      </c>
      <c r="G3" s="31" t="s">
        <v>330</v>
      </c>
      <c r="H3" s="31" t="s">
        <v>331</v>
      </c>
      <c r="I3" s="31"/>
      <c r="J3" s="31" t="s">
        <v>227</v>
      </c>
      <c r="K3" s="31" t="s">
        <v>332</v>
      </c>
      <c r="L3" s="31" t="s">
        <v>333</v>
      </c>
      <c r="M3" s="31" t="s">
        <v>334</v>
      </c>
      <c r="N3" s="31">
        <v>32</v>
      </c>
      <c r="O3" s="31">
        <v>96</v>
      </c>
      <c r="P3" s="31">
        <v>48</v>
      </c>
      <c r="Q3" s="31"/>
      <c r="R3" s="38" t="s">
        <v>335</v>
      </c>
    </row>
    <row r="4" spans="1:19" ht="15.95" customHeight="1" x14ac:dyDescent="0.25">
      <c r="A4" s="5">
        <v>2</v>
      </c>
      <c r="B4" s="17" t="s">
        <v>124</v>
      </c>
      <c r="C4" s="17" t="s">
        <v>125</v>
      </c>
      <c r="D4" s="46" t="s">
        <v>354</v>
      </c>
      <c r="E4" s="35" t="s">
        <v>329</v>
      </c>
      <c r="F4" s="17" t="s">
        <v>221</v>
      </c>
      <c r="G4" s="17" t="s">
        <v>336</v>
      </c>
      <c r="H4" s="17" t="s">
        <v>337</v>
      </c>
      <c r="I4" s="17"/>
      <c r="J4" s="17" t="s">
        <v>227</v>
      </c>
      <c r="K4" s="17" t="s">
        <v>332</v>
      </c>
      <c r="L4" s="17" t="s">
        <v>333</v>
      </c>
      <c r="M4" s="17" t="s">
        <v>334</v>
      </c>
      <c r="N4" s="17">
        <v>32</v>
      </c>
      <c r="O4" s="17">
        <v>96</v>
      </c>
      <c r="P4" s="17">
        <v>48</v>
      </c>
      <c r="Q4" s="17"/>
      <c r="R4" s="47" t="s">
        <v>335</v>
      </c>
    </row>
    <row r="5" spans="1:19" ht="15.95" customHeight="1" x14ac:dyDescent="0.25">
      <c r="A5" s="5">
        <v>3</v>
      </c>
      <c r="B5" s="17" t="s">
        <v>126</v>
      </c>
      <c r="C5" s="17" t="s">
        <v>127</v>
      </c>
      <c r="D5" s="46" t="s">
        <v>355</v>
      </c>
      <c r="E5" s="35" t="s">
        <v>329</v>
      </c>
      <c r="F5" s="17" t="s">
        <v>221</v>
      </c>
      <c r="G5" s="17" t="s">
        <v>338</v>
      </c>
      <c r="H5" s="17" t="s">
        <v>339</v>
      </c>
      <c r="I5" s="17"/>
      <c r="J5" s="17" t="s">
        <v>227</v>
      </c>
      <c r="K5" s="17" t="s">
        <v>332</v>
      </c>
      <c r="L5" s="17" t="s">
        <v>333</v>
      </c>
      <c r="M5" s="17" t="s">
        <v>334</v>
      </c>
      <c r="N5" s="17">
        <v>32</v>
      </c>
      <c r="O5" s="17">
        <v>96</v>
      </c>
      <c r="P5" s="17">
        <v>48</v>
      </c>
      <c r="Q5" s="17"/>
      <c r="R5" s="47" t="s">
        <v>335</v>
      </c>
    </row>
    <row r="6" spans="1:19" ht="15.95" customHeight="1" x14ac:dyDescent="0.25">
      <c r="A6" s="5">
        <v>4</v>
      </c>
      <c r="B6" s="17" t="s">
        <v>128</v>
      </c>
      <c r="C6" s="17" t="s">
        <v>129</v>
      </c>
      <c r="D6" s="46" t="s">
        <v>356</v>
      </c>
      <c r="E6" s="35" t="s">
        <v>329</v>
      </c>
      <c r="F6" s="17" t="s">
        <v>221</v>
      </c>
      <c r="G6" s="17" t="s">
        <v>340</v>
      </c>
      <c r="H6" s="17" t="s">
        <v>341</v>
      </c>
      <c r="I6" s="17"/>
      <c r="J6" s="17" t="s">
        <v>227</v>
      </c>
      <c r="K6" s="17" t="s">
        <v>332</v>
      </c>
      <c r="L6" s="17" t="s">
        <v>333</v>
      </c>
      <c r="M6" s="17" t="s">
        <v>334</v>
      </c>
      <c r="N6" s="17">
        <v>32</v>
      </c>
      <c r="O6" s="17">
        <v>96</v>
      </c>
      <c r="P6" s="17">
        <v>48</v>
      </c>
      <c r="Q6" s="17"/>
      <c r="R6" s="47" t="s">
        <v>335</v>
      </c>
    </row>
    <row r="7" spans="1:19" ht="15.95" customHeight="1" x14ac:dyDescent="0.25">
      <c r="A7" s="5">
        <v>5</v>
      </c>
      <c r="B7" s="17" t="s">
        <v>130</v>
      </c>
      <c r="C7" s="17" t="s">
        <v>131</v>
      </c>
      <c r="D7" s="46" t="s">
        <v>357</v>
      </c>
      <c r="E7" s="35" t="s">
        <v>329</v>
      </c>
      <c r="F7" s="17" t="s">
        <v>221</v>
      </c>
      <c r="G7" s="17" t="s">
        <v>342</v>
      </c>
      <c r="H7" s="17" t="s">
        <v>343</v>
      </c>
      <c r="I7" s="17"/>
      <c r="J7" s="17" t="s">
        <v>227</v>
      </c>
      <c r="K7" s="17" t="s">
        <v>332</v>
      </c>
      <c r="L7" s="17" t="s">
        <v>333</v>
      </c>
      <c r="M7" s="17" t="s">
        <v>334</v>
      </c>
      <c r="N7" s="17">
        <v>32</v>
      </c>
      <c r="O7" s="17">
        <v>96</v>
      </c>
      <c r="P7" s="17">
        <v>48</v>
      </c>
      <c r="Q7" s="17"/>
      <c r="R7" s="47" t="s">
        <v>335</v>
      </c>
    </row>
    <row r="8" spans="1:19" ht="15.95" customHeight="1" x14ac:dyDescent="0.25">
      <c r="A8" s="5">
        <v>6</v>
      </c>
      <c r="B8" s="17" t="s">
        <v>132</v>
      </c>
      <c r="C8" s="17" t="s">
        <v>133</v>
      </c>
      <c r="D8" s="46" t="s">
        <v>358</v>
      </c>
      <c r="E8" s="35" t="s">
        <v>329</v>
      </c>
      <c r="F8" s="17" t="s">
        <v>221</v>
      </c>
      <c r="G8" s="17" t="s">
        <v>344</v>
      </c>
      <c r="H8" s="17" t="s">
        <v>345</v>
      </c>
      <c r="I8" s="17"/>
      <c r="J8" s="17" t="s">
        <v>227</v>
      </c>
      <c r="K8" s="17" t="s">
        <v>332</v>
      </c>
      <c r="L8" s="17" t="s">
        <v>333</v>
      </c>
      <c r="M8" s="17" t="s">
        <v>334</v>
      </c>
      <c r="N8" s="17">
        <v>32</v>
      </c>
      <c r="O8" s="17">
        <v>96</v>
      </c>
      <c r="P8" s="17">
        <v>48</v>
      </c>
      <c r="Q8" s="17"/>
      <c r="R8" s="47" t="s">
        <v>335</v>
      </c>
    </row>
    <row r="9" spans="1:19" ht="15.95" customHeight="1" x14ac:dyDescent="0.25">
      <c r="A9" s="5">
        <v>7</v>
      </c>
      <c r="B9" s="17" t="s">
        <v>134</v>
      </c>
      <c r="C9" s="17" t="s">
        <v>135</v>
      </c>
      <c r="D9" s="46" t="s">
        <v>359</v>
      </c>
      <c r="E9" s="35" t="s">
        <v>329</v>
      </c>
      <c r="F9" s="17" t="s">
        <v>221</v>
      </c>
      <c r="G9" s="17" t="s">
        <v>346</v>
      </c>
      <c r="H9" s="17" t="s">
        <v>347</v>
      </c>
      <c r="I9" s="17"/>
      <c r="J9" s="17" t="s">
        <v>227</v>
      </c>
      <c r="K9" s="17" t="s">
        <v>332</v>
      </c>
      <c r="L9" s="17" t="s">
        <v>333</v>
      </c>
      <c r="M9" s="17" t="s">
        <v>334</v>
      </c>
      <c r="N9" s="17">
        <v>32</v>
      </c>
      <c r="O9" s="17">
        <v>96</v>
      </c>
      <c r="P9" s="17">
        <v>48</v>
      </c>
      <c r="Q9" s="17"/>
      <c r="R9" s="47" t="s">
        <v>335</v>
      </c>
    </row>
    <row r="10" spans="1:19" ht="15.95" customHeight="1" x14ac:dyDescent="0.25">
      <c r="A10" s="5">
        <v>8</v>
      </c>
      <c r="B10" s="17" t="s">
        <v>136</v>
      </c>
      <c r="C10" s="17" t="s">
        <v>137</v>
      </c>
      <c r="D10" s="46" t="s">
        <v>360</v>
      </c>
      <c r="E10" s="35" t="s">
        <v>329</v>
      </c>
      <c r="F10" s="17" t="s">
        <v>221</v>
      </c>
      <c r="G10" s="17" t="s">
        <v>348</v>
      </c>
      <c r="H10" s="17" t="s">
        <v>349</v>
      </c>
      <c r="I10" s="17"/>
      <c r="J10" s="17" t="s">
        <v>227</v>
      </c>
      <c r="K10" s="17" t="s">
        <v>332</v>
      </c>
      <c r="L10" s="17" t="s">
        <v>333</v>
      </c>
      <c r="M10" s="17" t="s">
        <v>334</v>
      </c>
      <c r="N10" s="17">
        <v>32</v>
      </c>
      <c r="O10" s="17">
        <v>96</v>
      </c>
      <c r="P10" s="17">
        <v>48</v>
      </c>
      <c r="Q10" s="17"/>
      <c r="R10" s="47" t="s">
        <v>335</v>
      </c>
    </row>
    <row r="11" spans="1:19" ht="15.95" customHeight="1" x14ac:dyDescent="0.25">
      <c r="A11" s="5">
        <v>9</v>
      </c>
      <c r="B11" s="17" t="s">
        <v>138</v>
      </c>
      <c r="C11" s="17" t="s">
        <v>139</v>
      </c>
      <c r="D11" s="46" t="s">
        <v>361</v>
      </c>
      <c r="E11" s="35" t="s">
        <v>329</v>
      </c>
      <c r="F11" s="17" t="s">
        <v>221</v>
      </c>
      <c r="G11" s="17" t="s">
        <v>350</v>
      </c>
      <c r="H11" s="17" t="s">
        <v>351</v>
      </c>
      <c r="I11" s="17"/>
      <c r="J11" s="17" t="s">
        <v>227</v>
      </c>
      <c r="K11" s="17" t="s">
        <v>332</v>
      </c>
      <c r="L11" s="17" t="s">
        <v>333</v>
      </c>
      <c r="M11" s="17" t="s">
        <v>334</v>
      </c>
      <c r="N11" s="17">
        <v>32</v>
      </c>
      <c r="O11" s="17">
        <v>96</v>
      </c>
      <c r="P11" s="17">
        <v>48</v>
      </c>
      <c r="Q11" s="17"/>
      <c r="R11" s="47" t="s">
        <v>335</v>
      </c>
    </row>
    <row r="12" spans="1:19" ht="15.95" customHeight="1" x14ac:dyDescent="0.25">
      <c r="A12" s="5">
        <v>10</v>
      </c>
      <c r="B12" s="5" t="s">
        <v>140</v>
      </c>
      <c r="C12" s="5" t="s">
        <v>141</v>
      </c>
      <c r="D12" s="46" t="s">
        <v>435</v>
      </c>
      <c r="E12" s="35" t="s">
        <v>329</v>
      </c>
      <c r="F12" s="17" t="s">
        <v>221</v>
      </c>
      <c r="G12" s="17" t="s">
        <v>436</v>
      </c>
      <c r="H12" s="17" t="s">
        <v>437</v>
      </c>
      <c r="I12" s="17"/>
      <c r="J12" s="17" t="s">
        <v>227</v>
      </c>
      <c r="K12" s="17" t="s">
        <v>332</v>
      </c>
      <c r="L12" s="17" t="s">
        <v>333</v>
      </c>
      <c r="M12" s="17" t="s">
        <v>334</v>
      </c>
      <c r="N12" s="17">
        <v>32</v>
      </c>
      <c r="O12" s="17">
        <v>96</v>
      </c>
      <c r="P12" s="17">
        <v>48</v>
      </c>
      <c r="Q12" s="17"/>
      <c r="R12" s="47" t="s">
        <v>335</v>
      </c>
    </row>
    <row r="13" spans="1:19" ht="15.95" customHeight="1" x14ac:dyDescent="0.25">
      <c r="A13" s="7">
        <v>11</v>
      </c>
      <c r="B13" s="7" t="s">
        <v>142</v>
      </c>
      <c r="C13" s="7" t="s">
        <v>143</v>
      </c>
      <c r="D13" s="46" t="s">
        <v>462</v>
      </c>
      <c r="E13" s="35" t="s">
        <v>329</v>
      </c>
      <c r="F13" s="17" t="s">
        <v>221</v>
      </c>
      <c r="G13" s="17" t="s">
        <v>340</v>
      </c>
      <c r="H13" s="17" t="s">
        <v>341</v>
      </c>
      <c r="I13" s="17"/>
      <c r="J13" s="17" t="s">
        <v>227</v>
      </c>
      <c r="K13" s="17" t="s">
        <v>332</v>
      </c>
      <c r="L13" s="17" t="s">
        <v>333</v>
      </c>
      <c r="M13" s="17" t="s">
        <v>334</v>
      </c>
      <c r="N13" s="17">
        <v>32</v>
      </c>
      <c r="O13" s="17">
        <v>96</v>
      </c>
      <c r="P13" s="17">
        <v>48</v>
      </c>
      <c r="Q13" s="17"/>
      <c r="R13" s="47" t="s">
        <v>335</v>
      </c>
    </row>
    <row r="14" spans="1:19" ht="15.95" customHeight="1" x14ac:dyDescent="0.25">
      <c r="A14" s="7">
        <v>12</v>
      </c>
      <c r="B14" s="7" t="s">
        <v>144</v>
      </c>
      <c r="C14" s="7" t="s">
        <v>145</v>
      </c>
      <c r="D14" s="46" t="s">
        <v>463</v>
      </c>
      <c r="E14" s="35" t="s">
        <v>329</v>
      </c>
      <c r="F14" s="17" t="s">
        <v>221</v>
      </c>
      <c r="G14" s="17" t="s">
        <v>342</v>
      </c>
      <c r="H14" s="17" t="s">
        <v>343</v>
      </c>
      <c r="I14" s="17"/>
      <c r="J14" s="17" t="s">
        <v>227</v>
      </c>
      <c r="K14" s="17" t="s">
        <v>332</v>
      </c>
      <c r="L14" s="17" t="s">
        <v>333</v>
      </c>
      <c r="M14" s="17" t="s">
        <v>334</v>
      </c>
      <c r="N14" s="17">
        <v>32</v>
      </c>
      <c r="O14" s="17">
        <v>96</v>
      </c>
      <c r="P14" s="17">
        <v>48</v>
      </c>
      <c r="Q14" s="17"/>
      <c r="R14" s="47" t="s">
        <v>335</v>
      </c>
    </row>
    <row r="15" spans="1:19" ht="15.95" customHeight="1" x14ac:dyDescent="0.25">
      <c r="A15" s="7">
        <v>13</v>
      </c>
      <c r="B15" s="7" t="s">
        <v>146</v>
      </c>
      <c r="C15" s="7" t="s">
        <v>147</v>
      </c>
      <c r="D15" s="46" t="s">
        <v>464</v>
      </c>
      <c r="E15" s="35" t="s">
        <v>329</v>
      </c>
      <c r="F15" s="17" t="s">
        <v>221</v>
      </c>
      <c r="G15" s="17" t="s">
        <v>344</v>
      </c>
      <c r="H15" s="17" t="s">
        <v>345</v>
      </c>
      <c r="I15" s="17"/>
      <c r="J15" s="17" t="s">
        <v>227</v>
      </c>
      <c r="K15" s="17" t="s">
        <v>332</v>
      </c>
      <c r="L15" s="17" t="s">
        <v>333</v>
      </c>
      <c r="M15" s="17" t="s">
        <v>334</v>
      </c>
      <c r="N15" s="17">
        <v>32</v>
      </c>
      <c r="O15" s="17">
        <v>96</v>
      </c>
      <c r="P15" s="17">
        <v>48</v>
      </c>
      <c r="Q15" s="17"/>
      <c r="R15" s="47" t="s">
        <v>335</v>
      </c>
    </row>
    <row r="16" spans="1:19" ht="15.95" customHeight="1" x14ac:dyDescent="0.25">
      <c r="A16" s="7">
        <v>14</v>
      </c>
      <c r="B16" s="7" t="s">
        <v>148</v>
      </c>
      <c r="C16" s="7" t="s">
        <v>149</v>
      </c>
      <c r="D16" s="46" t="s">
        <v>465</v>
      </c>
      <c r="E16" s="35" t="s">
        <v>329</v>
      </c>
      <c r="F16" s="17" t="s">
        <v>221</v>
      </c>
      <c r="G16" s="17" t="s">
        <v>346</v>
      </c>
      <c r="H16" s="17" t="s">
        <v>347</v>
      </c>
      <c r="I16" s="17"/>
      <c r="J16" s="17" t="s">
        <v>227</v>
      </c>
      <c r="K16" s="17" t="s">
        <v>332</v>
      </c>
      <c r="L16" s="17" t="s">
        <v>333</v>
      </c>
      <c r="M16" s="17" t="s">
        <v>334</v>
      </c>
      <c r="N16" s="17">
        <v>32</v>
      </c>
      <c r="O16" s="17">
        <v>96</v>
      </c>
      <c r="P16" s="17">
        <v>48</v>
      </c>
      <c r="Q16" s="17"/>
      <c r="R16" s="47" t="s">
        <v>335</v>
      </c>
    </row>
    <row r="17" spans="1:18" ht="15.95" customHeight="1" x14ac:dyDescent="0.25">
      <c r="A17" s="7">
        <v>15</v>
      </c>
      <c r="B17" s="7" t="s">
        <v>150</v>
      </c>
      <c r="C17" s="7" t="s">
        <v>151</v>
      </c>
      <c r="D17" s="46" t="s">
        <v>466</v>
      </c>
      <c r="E17" s="35" t="s">
        <v>329</v>
      </c>
      <c r="F17" s="17" t="s">
        <v>221</v>
      </c>
      <c r="G17" s="17" t="s">
        <v>348</v>
      </c>
      <c r="H17" s="17" t="s">
        <v>349</v>
      </c>
      <c r="I17" s="17"/>
      <c r="J17" s="17" t="s">
        <v>227</v>
      </c>
      <c r="K17" s="17" t="s">
        <v>332</v>
      </c>
      <c r="L17" s="17" t="s">
        <v>333</v>
      </c>
      <c r="M17" s="17" t="s">
        <v>334</v>
      </c>
      <c r="N17" s="17">
        <v>32</v>
      </c>
      <c r="O17" s="17">
        <v>96</v>
      </c>
      <c r="P17" s="17">
        <v>48</v>
      </c>
      <c r="Q17" s="17"/>
      <c r="R17" s="47" t="s">
        <v>335</v>
      </c>
    </row>
    <row r="18" spans="1:18" ht="15.95" customHeight="1" x14ac:dyDescent="0.25">
      <c r="A18" s="48">
        <v>16</v>
      </c>
      <c r="B18" s="48" t="s">
        <v>152</v>
      </c>
      <c r="C18" s="48" t="s">
        <v>153</v>
      </c>
      <c r="D18" s="63" t="s">
        <v>467</v>
      </c>
      <c r="E18" s="64" t="s">
        <v>329</v>
      </c>
      <c r="F18" s="48" t="s">
        <v>221</v>
      </c>
      <c r="G18" s="48" t="s">
        <v>436</v>
      </c>
      <c r="H18" s="48" t="s">
        <v>437</v>
      </c>
      <c r="I18" s="48"/>
      <c r="J18" s="48" t="s">
        <v>227</v>
      </c>
      <c r="K18" s="48" t="s">
        <v>332</v>
      </c>
      <c r="L18" s="48" t="s">
        <v>333</v>
      </c>
      <c r="M18" s="48" t="s">
        <v>334</v>
      </c>
      <c r="N18" s="48">
        <v>32</v>
      </c>
      <c r="O18" s="48">
        <v>96</v>
      </c>
      <c r="P18" s="48">
        <v>48</v>
      </c>
      <c r="Q18" s="48"/>
      <c r="R18" s="65" t="s">
        <v>335</v>
      </c>
    </row>
    <row r="19" spans="1:18" ht="15.95" customHeight="1" x14ac:dyDescent="0.25">
      <c r="A19" s="7">
        <v>17</v>
      </c>
      <c r="B19" s="7" t="s">
        <v>154</v>
      </c>
      <c r="C19" s="7" t="s">
        <v>155</v>
      </c>
      <c r="D19" s="46" t="s">
        <v>468</v>
      </c>
      <c r="E19" s="35" t="s">
        <v>329</v>
      </c>
      <c r="F19" s="17" t="s">
        <v>221</v>
      </c>
      <c r="G19" s="17" t="s">
        <v>436</v>
      </c>
      <c r="H19" s="17" t="s">
        <v>437</v>
      </c>
      <c r="I19" s="17"/>
      <c r="J19" s="17" t="s">
        <v>227</v>
      </c>
      <c r="K19" s="17" t="s">
        <v>332</v>
      </c>
      <c r="L19" s="17" t="s">
        <v>333</v>
      </c>
      <c r="M19" s="17" t="s">
        <v>334</v>
      </c>
      <c r="N19" s="17">
        <v>32</v>
      </c>
      <c r="O19" s="17">
        <v>96</v>
      </c>
      <c r="P19" s="17">
        <v>48</v>
      </c>
      <c r="Q19" s="17"/>
      <c r="R19" s="47" t="s">
        <v>335</v>
      </c>
    </row>
    <row r="20" spans="1:18" ht="15.95" customHeight="1" x14ac:dyDescent="0.25">
      <c r="A20" s="7">
        <v>18</v>
      </c>
      <c r="B20" s="7" t="s">
        <v>156</v>
      </c>
      <c r="C20" s="7" t="s">
        <v>157</v>
      </c>
      <c r="D20" s="46" t="s">
        <v>738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5.95" customHeight="1" x14ac:dyDescent="0.25">
      <c r="A21" s="7">
        <v>19</v>
      </c>
      <c r="B21" s="7" t="s">
        <v>158</v>
      </c>
      <c r="C21" s="7" t="s">
        <v>159</v>
      </c>
      <c r="D21" s="46" t="s">
        <v>739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5.95" customHeight="1" x14ac:dyDescent="0.25">
      <c r="A22" s="7">
        <v>20</v>
      </c>
      <c r="B22" s="7" t="s">
        <v>160</v>
      </c>
      <c r="C22" s="7" t="s">
        <v>161</v>
      </c>
      <c r="D22" s="46" t="s">
        <v>740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5.95" customHeight="1" x14ac:dyDescent="0.25">
      <c r="A23" s="7">
        <v>21</v>
      </c>
      <c r="B23" s="7" t="s">
        <v>162</v>
      </c>
      <c r="C23" s="7" t="s">
        <v>163</v>
      </c>
      <c r="D23" s="46" t="s">
        <v>741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5.95" customHeight="1" x14ac:dyDescent="0.25">
      <c r="A24" s="7">
        <v>22</v>
      </c>
      <c r="B24" s="7" t="s">
        <v>164</v>
      </c>
      <c r="C24" s="7" t="s">
        <v>165</v>
      </c>
      <c r="D24" s="46" t="s">
        <v>742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5.95" customHeight="1" x14ac:dyDescent="0.25">
      <c r="A25" s="7">
        <v>23</v>
      </c>
      <c r="B25" s="7" t="s">
        <v>166</v>
      </c>
      <c r="C25" s="7" t="s">
        <v>167</v>
      </c>
      <c r="D25" s="46" t="s">
        <v>743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5.95" customHeight="1" x14ac:dyDescent="0.25">
      <c r="A26" s="7">
        <v>24</v>
      </c>
      <c r="B26" s="7" t="s">
        <v>168</v>
      </c>
      <c r="C26" s="7" t="s">
        <v>169</v>
      </c>
      <c r="D26" s="46" t="s">
        <v>744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5.95" customHeight="1" x14ac:dyDescent="0.25">
      <c r="A27" s="8">
        <v>25</v>
      </c>
      <c r="B27" s="7" t="s">
        <v>170</v>
      </c>
      <c r="C27" s="7" t="s">
        <v>171</v>
      </c>
      <c r="D27" s="46" t="s">
        <v>745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5.95" customHeight="1" x14ac:dyDescent="0.25">
      <c r="A28" s="8">
        <v>26</v>
      </c>
      <c r="B28" s="7" t="s">
        <v>172</v>
      </c>
      <c r="C28" s="7" t="s">
        <v>173</v>
      </c>
      <c r="D28" s="46" t="s">
        <v>746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5.95" customHeight="1" x14ac:dyDescent="0.25">
      <c r="A29" s="7">
        <v>27</v>
      </c>
      <c r="B29" s="7" t="s">
        <v>174</v>
      </c>
      <c r="C29" s="7" t="s">
        <v>175</v>
      </c>
      <c r="D29" s="46" t="s">
        <v>747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5.95" customHeight="1" x14ac:dyDescent="0.25">
      <c r="A30" s="7">
        <v>28</v>
      </c>
      <c r="B30" s="7" t="s">
        <v>176</v>
      </c>
      <c r="C30" s="7" t="s">
        <v>177</v>
      </c>
      <c r="D30" s="46" t="s">
        <v>748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5.95" customHeight="1" x14ac:dyDescent="0.25">
      <c r="A31" s="7">
        <v>29</v>
      </c>
      <c r="B31" s="7" t="s">
        <v>178</v>
      </c>
      <c r="C31" s="7" t="s">
        <v>179</v>
      </c>
      <c r="D31" s="46" t="s">
        <v>749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95" customHeight="1" x14ac:dyDescent="0.25">
      <c r="A32" s="7">
        <v>30</v>
      </c>
      <c r="B32" s="7" t="s">
        <v>180</v>
      </c>
      <c r="C32" s="7" t="s">
        <v>181</v>
      </c>
      <c r="D32" s="46" t="s">
        <v>750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95" customHeight="1" x14ac:dyDescent="0.25">
      <c r="A33" s="7">
        <v>31</v>
      </c>
      <c r="B33" s="7" t="s">
        <v>182</v>
      </c>
      <c r="C33" s="7" t="s">
        <v>183</v>
      </c>
      <c r="D33" s="46" t="s">
        <v>751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95" customHeight="1" x14ac:dyDescent="0.25">
      <c r="A34" s="7">
        <v>32</v>
      </c>
      <c r="B34" s="7" t="s">
        <v>184</v>
      </c>
      <c r="C34" s="7" t="s">
        <v>185</v>
      </c>
      <c r="D34" s="46" t="s">
        <v>752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95" customHeight="1" x14ac:dyDescent="0.25">
      <c r="A35" s="7">
        <v>33</v>
      </c>
      <c r="B35" s="7" t="s">
        <v>186</v>
      </c>
      <c r="C35" s="7" t="s">
        <v>187</v>
      </c>
      <c r="D35" s="46" t="s">
        <v>753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95" customHeight="1" x14ac:dyDescent="0.25">
      <c r="A36" s="7">
        <v>34</v>
      </c>
      <c r="B36" s="7" t="s">
        <v>188</v>
      </c>
      <c r="C36" s="7" t="s">
        <v>189</v>
      </c>
      <c r="D36" s="46" t="s">
        <v>754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95" customHeight="1" x14ac:dyDescent="0.25">
      <c r="A37" s="7">
        <v>35</v>
      </c>
      <c r="B37" s="7" t="s">
        <v>190</v>
      </c>
      <c r="C37" s="7" t="s">
        <v>191</v>
      </c>
      <c r="D37" s="46" t="s">
        <v>755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95" customHeight="1" x14ac:dyDescent="0.25">
      <c r="A38" s="7">
        <v>36</v>
      </c>
      <c r="B38" s="7" t="s">
        <v>192</v>
      </c>
      <c r="C38" s="7" t="s">
        <v>193</v>
      </c>
      <c r="D38" s="46" t="s">
        <v>756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95" customHeight="1" x14ac:dyDescent="0.25">
      <c r="A39" s="7">
        <v>37</v>
      </c>
      <c r="B39" s="7" t="s">
        <v>194</v>
      </c>
      <c r="C39" s="7" t="s">
        <v>195</v>
      </c>
      <c r="D39" s="46" t="s">
        <v>757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95" customHeight="1" x14ac:dyDescent="0.25">
      <c r="A40" s="7">
        <v>38</v>
      </c>
      <c r="B40" s="7" t="s">
        <v>196</v>
      </c>
      <c r="C40" s="7" t="s">
        <v>197</v>
      </c>
      <c r="D40" s="46" t="s">
        <v>758</v>
      </c>
      <c r="E40" s="35" t="s">
        <v>329</v>
      </c>
      <c r="F40" s="17" t="s">
        <v>221</v>
      </c>
      <c r="G40" s="17" t="s">
        <v>436</v>
      </c>
      <c r="H40" s="17" t="s">
        <v>437</v>
      </c>
      <c r="I40" s="17"/>
      <c r="J40" s="17" t="s">
        <v>227</v>
      </c>
      <c r="K40" s="17" t="s">
        <v>332</v>
      </c>
      <c r="L40" s="17" t="s">
        <v>333</v>
      </c>
      <c r="M40" s="17" t="s">
        <v>334</v>
      </c>
      <c r="N40" s="17">
        <v>32</v>
      </c>
      <c r="O40" s="17">
        <v>96</v>
      </c>
      <c r="P40" s="17">
        <v>48</v>
      </c>
      <c r="Q40" s="17"/>
      <c r="R40" s="47" t="s">
        <v>335</v>
      </c>
    </row>
    <row r="41" spans="1:18" ht="15.95" customHeight="1" x14ac:dyDescent="0.25">
      <c r="A41" s="7">
        <v>39</v>
      </c>
      <c r="B41" s="7" t="s">
        <v>198</v>
      </c>
      <c r="C41" s="7" t="s">
        <v>199</v>
      </c>
      <c r="D41" s="46" t="s">
        <v>759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95" customHeight="1" x14ac:dyDescent="0.25">
      <c r="A42" s="7">
        <v>40</v>
      </c>
      <c r="B42" s="7" t="s">
        <v>200</v>
      </c>
      <c r="C42" s="7" t="s">
        <v>201</v>
      </c>
      <c r="D42" s="46" t="s">
        <v>760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95" customHeight="1" x14ac:dyDescent="0.25">
      <c r="A43" s="7">
        <v>41</v>
      </c>
      <c r="B43" s="7" t="s">
        <v>202</v>
      </c>
      <c r="C43" s="7" t="s">
        <v>203</v>
      </c>
      <c r="D43" s="46" t="s">
        <v>761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95" customHeight="1" x14ac:dyDescent="0.25">
      <c r="A44" s="7">
        <v>42</v>
      </c>
      <c r="B44" s="7" t="s">
        <v>204</v>
      </c>
      <c r="C44" s="7" t="s">
        <v>205</v>
      </c>
      <c r="D44" s="46" t="s">
        <v>762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95" customHeight="1" x14ac:dyDescent="0.25">
      <c r="A45" s="48">
        <v>43</v>
      </c>
      <c r="B45" s="48" t="s">
        <v>206</v>
      </c>
      <c r="C45" s="48" t="s">
        <v>207</v>
      </c>
      <c r="D45" s="63" t="s">
        <v>763</v>
      </c>
      <c r="E45" s="64" t="s">
        <v>329</v>
      </c>
      <c r="F45" s="48" t="s">
        <v>221</v>
      </c>
      <c r="G45" s="48" t="s">
        <v>436</v>
      </c>
      <c r="H45" s="48" t="s">
        <v>437</v>
      </c>
      <c r="I45" s="48"/>
      <c r="J45" s="48" t="s">
        <v>227</v>
      </c>
      <c r="K45" s="48" t="s">
        <v>332</v>
      </c>
      <c r="L45" s="48" t="s">
        <v>333</v>
      </c>
      <c r="M45" s="48" t="s">
        <v>334</v>
      </c>
      <c r="N45" s="48">
        <v>32</v>
      </c>
      <c r="O45" s="48">
        <v>96</v>
      </c>
      <c r="P45" s="48">
        <v>48</v>
      </c>
      <c r="Q45" s="48"/>
      <c r="R45" s="65" t="s">
        <v>335</v>
      </c>
    </row>
    <row r="46" spans="1:18" ht="15.95" customHeight="1" x14ac:dyDescent="0.25">
      <c r="A46" s="7">
        <v>44</v>
      </c>
      <c r="B46" s="7" t="s">
        <v>208</v>
      </c>
      <c r="C46" s="7" t="s">
        <v>209</v>
      </c>
      <c r="D46" s="46" t="s">
        <v>470</v>
      </c>
      <c r="E46" s="35" t="s">
        <v>329</v>
      </c>
      <c r="F46" s="17" t="s">
        <v>221</v>
      </c>
      <c r="G46" s="17" t="s">
        <v>436</v>
      </c>
      <c r="H46" s="17" t="s">
        <v>437</v>
      </c>
      <c r="I46" s="17"/>
      <c r="J46" s="17" t="s">
        <v>227</v>
      </c>
      <c r="K46" s="17" t="s">
        <v>332</v>
      </c>
      <c r="L46" s="17" t="s">
        <v>333</v>
      </c>
      <c r="M46" s="17" t="s">
        <v>334</v>
      </c>
      <c r="N46" s="17">
        <v>32</v>
      </c>
      <c r="O46" s="17">
        <v>96</v>
      </c>
      <c r="P46" s="17">
        <v>48</v>
      </c>
      <c r="Q46" s="17"/>
      <c r="R46" s="47" t="s">
        <v>335</v>
      </c>
    </row>
    <row r="47" spans="1:18" ht="15.95" customHeight="1" x14ac:dyDescent="0.25">
      <c r="A47" s="48">
        <v>45</v>
      </c>
      <c r="B47" s="48" t="s">
        <v>210</v>
      </c>
      <c r="C47" s="48" t="s">
        <v>211</v>
      </c>
      <c r="D47" s="63" t="s">
        <v>764</v>
      </c>
      <c r="E47" s="64" t="s">
        <v>329</v>
      </c>
      <c r="F47" s="48" t="s">
        <v>221</v>
      </c>
      <c r="G47" s="48" t="s">
        <v>436</v>
      </c>
      <c r="H47" s="48" t="s">
        <v>437</v>
      </c>
      <c r="I47" s="48"/>
      <c r="J47" s="48" t="s">
        <v>227</v>
      </c>
      <c r="K47" s="48" t="s">
        <v>332</v>
      </c>
      <c r="L47" s="48" t="s">
        <v>333</v>
      </c>
      <c r="M47" s="48" t="s">
        <v>334</v>
      </c>
      <c r="N47" s="48">
        <v>32</v>
      </c>
      <c r="O47" s="48">
        <v>96</v>
      </c>
      <c r="P47" s="48">
        <v>48</v>
      </c>
      <c r="Q47" s="48"/>
      <c r="R47" s="65" t="s">
        <v>335</v>
      </c>
    </row>
    <row r="48" spans="1:18" ht="15.95" customHeight="1" x14ac:dyDescent="0.25">
      <c r="A48" s="48">
        <v>46</v>
      </c>
      <c r="B48" s="48" t="s">
        <v>212</v>
      </c>
      <c r="C48" s="48" t="s">
        <v>213</v>
      </c>
      <c r="D48" s="63" t="s">
        <v>765</v>
      </c>
      <c r="E48" s="64" t="s">
        <v>329</v>
      </c>
      <c r="F48" s="48" t="s">
        <v>221</v>
      </c>
      <c r="G48" s="48" t="s">
        <v>436</v>
      </c>
      <c r="H48" s="48" t="s">
        <v>437</v>
      </c>
      <c r="I48" s="48"/>
      <c r="J48" s="48" t="s">
        <v>227</v>
      </c>
      <c r="K48" s="48" t="s">
        <v>332</v>
      </c>
      <c r="L48" s="48" t="s">
        <v>333</v>
      </c>
      <c r="M48" s="48" t="s">
        <v>334</v>
      </c>
      <c r="N48" s="48">
        <v>32</v>
      </c>
      <c r="O48" s="48">
        <v>96</v>
      </c>
      <c r="P48" s="48">
        <v>48</v>
      </c>
      <c r="Q48" s="48"/>
      <c r="R48" s="65" t="s">
        <v>335</v>
      </c>
    </row>
    <row r="49" spans="1:18" ht="15.95" customHeight="1" x14ac:dyDescent="0.25">
      <c r="A49" s="7">
        <v>47</v>
      </c>
      <c r="B49" s="7" t="s">
        <v>214</v>
      </c>
      <c r="C49" s="7" t="s">
        <v>215</v>
      </c>
      <c r="D49" s="46" t="s">
        <v>766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95" customHeight="1" thickBot="1" x14ac:dyDescent="0.3">
      <c r="A50" s="9">
        <v>48</v>
      </c>
      <c r="B50" s="9" t="s">
        <v>216</v>
      </c>
      <c r="C50" s="9" t="s">
        <v>217</v>
      </c>
      <c r="D50" s="46" t="s">
        <v>767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5.95" customHeight="1" thickTop="1" x14ac:dyDescent="0.25"/>
  </sheetData>
  <mergeCells count="1">
    <mergeCell ref="A1:R1"/>
  </mergeCells>
  <phoneticPr fontId="29" type="noConversion"/>
  <pageMargins left="0.31496062992125984" right="0.11811023622047245" top="0.15748031496062992" bottom="0.15748031496062992" header="0.31496062992125984" footer="0.31496062992125984"/>
  <pageSetup scale="67" orientation="landscape" r:id="rId1"/>
  <colBreaks count="1" manualBreakCount="1">
    <brk id="25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STANDBY GEN</vt:lpstr>
      <vt:lpstr>110VDC BATTERY</vt:lpstr>
      <vt:lpstr>110VDC CHARGER</vt:lpstr>
      <vt:lpstr>48VDC BATTERY</vt:lpstr>
      <vt:lpstr>48VDC CHARGER</vt:lpstr>
      <vt:lpstr>UPS</vt:lpstr>
      <vt:lpstr>DIGITAL FAULT RECORDER</vt:lpstr>
      <vt:lpstr>'110VDC BATTERY'!Print_Area</vt:lpstr>
      <vt:lpstr>'110VDC CHARGER'!Print_Area</vt:lpstr>
      <vt:lpstr>'48VDC BATTERY'!Print_Area</vt:lpstr>
      <vt:lpstr>'48VDC CHARGER'!Print_Area</vt:lpstr>
      <vt:lpstr>'DIGITAL FAULT RECORDER'!Print_Area</vt:lpstr>
      <vt:lpstr>'STANDBY GEN'!Print_Area</vt:lpstr>
      <vt:lpstr>UPS!Print_Area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MUVUNYI Germain</dc:creator>
  <cp:lastModifiedBy>HABYALIMANA Simon Pierre</cp:lastModifiedBy>
  <cp:lastPrinted>2025-09-09T05:36:37Z</cp:lastPrinted>
  <dcterms:created xsi:type="dcterms:W3CDTF">2025-08-28T16:46:50Z</dcterms:created>
  <dcterms:modified xsi:type="dcterms:W3CDTF">2025-12-05T15:38:41Z</dcterms:modified>
</cp:coreProperties>
</file>